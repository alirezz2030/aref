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423fdf422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c4bb491cc7c4fb2"/>
    <x:sheet xmlns:r="http://schemas.openxmlformats.org/officeDocument/2006/relationships" name="Sales Data" sheetId="2" r:id="R4ea0b6cbc8024515"/>
    <x:sheet xmlns:r="http://schemas.openxmlformats.org/officeDocument/2006/relationships" name="Lookups" sheetId="3" r:id="R90ba8c97cc3a4f4b"/>
    <x:sheet xmlns:r="http://schemas.openxmlformats.org/officeDocument/2006/relationships" name="Dashboard" sheetId="4" r:id="R4d8c8b44477b476f"/>
    <x:sheet xmlns:r="http://schemas.openxmlformats.org/officeDocument/2006/relationships" name="Exercises" sheetId="5" r:id="Radea4e76a5194b7d"/>
    <x:sheet xmlns:r="http://schemas.openxmlformats.org/officeDocument/2006/relationships" name="Formula Reference" sheetId="6" r:id="R4821b12f807140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.00"/>
    <x:numFmt numFmtId="201" formatCode="$#,##0"/>
    <x:numFmt numFmtId="202" formatCode="yyyy-mm-dd"/>
    <x:numFmt numFmtId="203" formatCode="0%"/>
    <x:numFmt numFmtId="204" formatCode="0"/>
    <x:numFmt numFmtId="205" formatCode="#,##0"/>
    <x:numFmt numFmtId="206" formatCode="mmm yyyy"/>
  </x:numFmts>
  <x:fonts count="8">
    <x:font>
      <x:sz val="11"/>
      <x:name val="Carlito"/>
    </x:font>
    <x:font>
      <x:b/>
      <x:sz val="17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8"/>
      <x:color rgb="FFFFFFFF"/>
      <x:name val="Carlito"/>
    </x:font>
    <x:font>
      <x:b/>
      <x:sz val="12"/>
      <x:color rgb="FF0F766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DDEFEA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204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205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vertical="center"/>
    </x:xf>
    <x:xf numFmtId="200" fontId="0" fillId="8" borderId="0" xfId="0" applyNumberFormat="1" applyFont="1" applyFill="1" applyBorder="1" applyAlignment="1">
      <x:alignment vertical="center"/>
    </x:xf>
    <x:xf numFmtId="205" fontId="0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200" fontId="0" fillId="8" borderId="1" xfId="0" applyNumberFormat="1" applyFont="1" applyFill="1" applyBorder="1"/>
    <x:xf numFmtId="205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vertical="center"/>
    </x:xf>
    <x:xf numFmtId="200" fontId="0" fillId="8" borderId="1" xfId="0" applyNumberFormat="1" applyFont="1" applyFill="1" applyBorder="1" applyAlignment="1">
      <x:alignment vertical="center"/>
    </x:xf>
    <x:xf numFmtId="205" fontId="0" fillId="8" borderId="1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200" fontId="7" fillId="8" borderId="0" xfId="0" applyNumberFormat="1" applyFont="1" applyFill="1" applyBorder="1" applyAlignment="1">
      <x:alignment vertical="center"/>
    </x:xf>
    <x:xf numFmtId="205" fontId="7" fillId="8" borderId="0" xfId="0" applyNumberFormat="1" applyFont="1" applyFill="1" applyBorder="1" applyAlignment="1">
      <x:alignment vertical="center"/>
    </x:xf>
    <x:xf numFmtId="200" fontId="7" fillId="8" borderId="1" xfId="0" applyNumberFormat="1" applyFont="1" applyFill="1" applyBorder="1" applyAlignment="1">
      <x:alignment vertical="center"/>
    </x:xf>
    <x:xf numFmtId="205" fontId="7" fillId="8" borderId="1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7" borderId="0" xfId="0" applyNumberFormat="1" applyFont="1" applyFill="1" applyBorder="1" applyAlignment="1">
      <x:alignment vertical="center"/>
    </x:xf>
    <x:xf numFmtId="200" fontId="0" fillId="7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cb757840d408b" /><Relationship Type="http://schemas.openxmlformats.org/officeDocument/2006/relationships/theme" Target="/xl/theme/theme1.xml" Id="R519307ddb2cf49af" /><Relationship Type="http://schemas.openxmlformats.org/officeDocument/2006/relationships/sharedStrings" Target="/xl/sharedStrings.xml" Id="R35ad68ed34a748ad" /><Relationship Type="http://schemas.openxmlformats.org/officeDocument/2006/relationships/worksheet" Target="/xl/worksheets/sheet1.xml" Id="Rfc4bb491cc7c4fb2" /><Relationship Type="http://schemas.openxmlformats.org/officeDocument/2006/relationships/worksheet" Target="/xl/worksheets/sheet2.xml" Id="R4ea0b6cbc8024515" /><Relationship Type="http://schemas.openxmlformats.org/officeDocument/2006/relationships/worksheet" Target="/xl/worksheets/sheet3.xml" Id="R90ba8c97cc3a4f4b" /><Relationship Type="http://schemas.openxmlformats.org/officeDocument/2006/relationships/worksheet" Target="/xl/worksheets/sheet4.xml" Id="R4d8c8b44477b476f" /><Relationship Type="http://schemas.openxmlformats.org/officeDocument/2006/relationships/worksheet" Target="/xl/worksheets/sheet5.xml" Id="Radea4e76a5194b7d" /><Relationship Type="http://schemas.openxmlformats.org/officeDocument/2006/relationships/worksheet" Target="/xl/worksheets/sheet6.xml" Id="R4821b12f807140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f5984467fa4d94" /><Relationship Type="http://schemas.openxmlformats.org/officeDocument/2006/relationships/chart" Target="/xl/drawings/charts/chart2.xml" Id="R46df51aa62a64d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Net Revenue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Net Revenue</c:v>
          </c:tx>
          <c:marker>
            <c:symbol val="none"/>
          </c:marker>
          <c:cat>
            <c:strRef>
              <c:f>'Dashboard'!$A$20:$A$25</c:f>
              <c:strCache>
                <c:ptCount val="0"/>
              </c:strCache>
            </c:strRef>
          </c:cat>
          <c:val>
            <c:numRef>
              <c:f>'Dashboard'!$B$20:$B$25</c:f>
              <c:numCache>
                <c:formatCode>$#,##0.00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 Revenue by Product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Net Revenue</c:v>
          </c:tx>
          <c:cat>
            <c:strRef>
              <c:f>'Dashboard'!$F$12:$F$17</c:f>
              <c:strCache>
                <c:ptCount val="0"/>
              </c:strCache>
            </c:strRef>
          </c:cat>
          <c:val>
            <c:numRef>
              <c:f>'Dashboard'!$G$12:$G$17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f5984467fa4d94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df51aa62a64d9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SalesTable" displayName="SalesTable" ref="A1:K61" headerRowCount="1" totalsRowCount="0" totalsRowShown="0">
  <x:tableColumns count="11">
    <x:tableColumn id="1" name="Order ID"/>
    <x:tableColumn id="2" name="Date"/>
    <x:tableColumn id="3" name="Region"/>
    <x:tableColumn id="4" name="Product"/>
    <x:tableColumn id="5" name="Units"/>
    <x:tableColumn id="6" name="Discount %"/>
    <x:tableColumn id="7" name="Customer Type"/>
    <x:tableColumn id="8" name="Channel"/>
    <x:tableColumn id="9" name="Unit Price"/>
    <x:tableColumn id="10" name="Gross Revenue"/>
    <x:tableColumn id="11" name="Net Reven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ductLookupTable" displayName="ProductLookupTable" ref="A1:C7" headerRowCount="1" totalsRowCount="0" totalsRowShown="0">
  <x:tableColumns count="3">
    <x:tableColumn id="1" name="Product"/>
    <x:tableColumn id="2" name="Unit Price"/>
    <x:tableColumn id="3" name="Catego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gionTargetTable" displayName="RegionTargetTable" ref="E1:F5" headerRowCount="1" totalsRowCount="0" totalsRowShown="0">
  <x:tableColumns count="2">
    <x:tableColumn id="1" name="Region"/>
    <x:tableColumn id="2" name="Revenue Targe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ercisesTable" displayName="ExercisesTable" ref="A1:E17" headerRowCount="1" totalsRowCount="0" totalsRowShown="0">
  <x:tableColumns count="5">
    <x:tableColumn id="1" name="#"/>
    <x:tableColumn id="2" name="Skill"/>
    <x:tableColumn id="3" name="Task"/>
    <x:tableColumn id="4" name="Try it here / answer formula example"/>
    <x:tableColumn id="5" name="Check / expected formul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ormulaReferenceTable" displayName="FormulaReferenceTable" ref="A1:D34" headerRowCount="1" totalsRowCount="0" totalsRowShown="0">
  <x:tableColumns count="4">
    <x:tableColumn id="1" name="Function / Feature"/>
    <x:tableColumn id="2" name="Purpose"/>
    <x:tableColumn id="3" name="Example formula / action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7d834cdf734d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9ebd3e3e1d48f1" /><Relationship Type="http://schemas.openxmlformats.org/officeDocument/2006/relationships/table" Target="/xl/tables/table3.xml" Id="Rb1f2a680f22143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dafa1f7a9a045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89540799ef41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fd98efdea14317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62" hidden="0" customWidth="1"/>
    <x:col min="3" max="3" width="3" hidden="0" customWidth="1"/>
    <x:col min="4" max="4" width="20" hidden="0" customWidth="1"/>
    <x:col min="5" max="5" width="49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5" t="str">
        <x:v>EXCEL FOR DATA ANALYSIS — BOOTCAMP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A hands-on workbook: formulas, cleaning, lookups, summaries, charts, and reporting</x:v>
      </x:c>
      <x:c r="B2" s="14"/>
      <x:c r="C2" s="14"/>
      <x:c r="D2" s="14"/>
      <x:c r="E2" s="14"/>
      <x:c r="F2" s="14"/>
      <x:c r="G2" s="14"/>
      <x:c r="H2" s="14"/>
    </x:row>
    <x:row r="4">
      <x:c r="A4" s="22" t="str">
        <x:v>How to use this workbook</x:v>
      </x:c>
      <x:c r="B4" s="22" t="str">
        <x:v>Instructions</x:v>
      </x:c>
      <x:c r="D4" s="33" t="str">
        <x:v>Learning path</x:v>
      </x:c>
      <x:c r="E4" s="33" t="str">
        <x:v>Skills</x:v>
      </x:c>
    </x:row>
    <x:row r="5" ht="34" customHeight="1">
      <x:c r="A5" s="30" t="str">
        <x:v>1. Start with Sales Data</x:v>
      </x:c>
      <x:c r="B5" s="27" t="str">
        <x:v>Explore the data table. Blue/green formatted formula columns calculate unit price, gross revenue, and net revenue.</x:v>
      </x:c>
      <x:c r="D5" s="30" t="str">
        <x:v>Foundations</x:v>
      </x:c>
      <x:c r="E5" s="27" t="str">
        <x:v>Rows, columns, tables, sorting and filtering</x:v>
      </x:c>
    </x:row>
    <x:row r="6" ht="34" customHeight="1">
      <x:c r="A6" s="30" t="str">
        <x:v>2. Inspect Lookups</x:v>
      </x:c>
      <x:c r="B6" s="27" t="str">
        <x:v>This sheet contains product prices, product categories, region targets, and allowed dropdown values.</x:v>
      </x:c>
      <x:c r="D6" s="30" t="str">
        <x:v>Formulas</x:v>
      </x:c>
      <x:c r="E6" s="27" t="str">
        <x:v>SUM, AVERAGE, COUNT, IF, SUMIF(S), COUNTIF(S)</x:v>
      </x:c>
    </x:row>
    <x:row r="7" ht="34" customHeight="1">
      <x:c r="A7" s="30" t="str">
        <x:v>3. Explore Dashboard</x:v>
      </x:c>
      <x:c r="B7" s="27" t="str">
        <x:v>The dashboard uses Excel formulas to calculate KPIs and product/region/month summaries. Charts visualize revenue.</x:v>
      </x:c>
      <x:c r="D7" s="30" t="str">
        <x:v>Text and dates</x:v>
      </x:c>
      <x:c r="E7" s="27" t="str">
        <x:v>TRIM, CLEAN, LEFT, RIGHT, MID, YEAR, MONTH, EOMONTH</x:v>
      </x:c>
    </x:row>
    <x:row r="8" ht="34" customHeight="1">
      <x:c r="A8" s="30" t="str">
        <x:v>4. Practice with Exercises</x:v>
      </x:c>
      <x:c r="B8" s="27" t="str">
        <x:v>Read the question, try writing the formula in Excel, then compare with the hint/example formula.</x:v>
      </x:c>
      <x:c r="D8" s="30" t="str">
        <x:v>Lookups</x:v>
      </x:c>
      <x:c r="E8" s="27" t="str">
        <x:v>XLOOKUP / VLOOKUP and INDEX + MATCH</x:v>
      </x:c>
    </x:row>
    <x:row r="9" ht="34" customHeight="1">
      <x:c r="A9" s="30" t="str">
        <x:v>5. Use Formula Reference</x:v>
      </x:c>
      <x:c r="B9" s="27" t="str">
        <x:v>A compact cheat sheet of common Excel formulas used in data analysis.</x:v>
      </x:c>
      <x:c r="D9" s="30" t="str">
        <x:v>Data quality</x:v>
      </x:c>
      <x:c r="E9" s="27" t="str">
        <x:v>Duplicates, blanks, error handling, data validation</x:v>
      </x:c>
    </x:row>
    <x:row r="10" ht="34" customHeight="1">
      <x:c r="A10" s="30" t="str">
        <x:v>6. Change values safely</x:v>
      </x:c>
      <x:c r="B10" s="27" t="str">
        <x:v>Edit inputs in Sales Data (for example units, discount, region, product). Formula columns should recalculate in Excel.</x:v>
      </x:c>
      <x:c r="D10" s="30" t="str">
        <x:v>Analysis</x:v>
      </x:c>
      <x:c r="E10" s="27" t="str">
        <x:v>PivotTables, percentages, rankings, trends</x:v>
      </x:c>
    </x:row>
    <x:row r="11" ht="34" customHeight="1">
      <x:c r="D11" s="30" t="str">
        <x:v>Visualization</x:v>
      </x:c>
      <x:c r="E11" s="27" t="str">
        <x:v>Column charts, line charts, conditional formatting</x:v>
      </x:c>
    </x:row>
    <x:row r="12" ht="34" customHeight="1">
      <x:c r="D12" s="30" t="str">
        <x:v>Final practice</x:v>
      </x:c>
      <x:c r="E12" s="27" t="str">
        <x:v>Build a regional revenue report and explain the result</x:v>
      </x:c>
    </x:row>
    <x:row r="14" ht="34" customHeight="1">
      <x:c r="A14" s="39" t="str">
        <x:v>Important: the data is synthetic for learning. Revenue is calculated as units × lookup price × (1 − discount), before taxes, refunds, or shipping.</x:v>
      </x:c>
      <x:c r="B14" s="39"/>
      <x:c r="C14" s="39"/>
      <x:c r="D14" s="39"/>
      <x:c r="E14" s="39"/>
      <x:c r="F14" s="39"/>
      <x:c r="G14" s="39"/>
      <x:c r="H14" s="39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6" hidden="0" customWidth="1"/>
    <x:col min="5" max="5" width="10" hidden="0" customWidth="1"/>
    <x:col min="6" max="6" width="13" hidden="0" customWidth="1"/>
    <x:col min="7" max="7" width="17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</x:cols>
  <x:sheetData>
    <x:row r="1" ht="30" customHeight="1">
      <x:c r="A1" s="53" t="str">
        <x:v>Order ID</x:v>
      </x:c>
      <x:c r="B1" s="53" t="str">
        <x:v>Date</x:v>
      </x:c>
      <x:c r="C1" s="53" t="str">
        <x:v>Region</x:v>
      </x:c>
      <x:c r="D1" s="53" t="str">
        <x:v>Product</x:v>
      </x:c>
      <x:c r="E1" s="53" t="str">
        <x:v>Units</x:v>
      </x:c>
      <x:c r="F1" s="53" t="str">
        <x:v>Discount %</x:v>
      </x:c>
      <x:c r="G1" s="53" t="str">
        <x:v>Customer Type</x:v>
      </x:c>
      <x:c r="H1" s="53" t="str">
        <x:v>Channel</x:v>
      </x:c>
      <x:c r="I1" s="53" t="str">
        <x:v>Unit Price</x:v>
      </x:c>
      <x:c r="J1" s="53" t="str">
        <x:v>Gross Revenue</x:v>
      </x:c>
      <x:c r="K1" s="53" t="str">
        <x:v>Net Revenue</x:v>
      </x:c>
    </x:row>
    <x:row r="2">
      <x:c r="A2" s="58" t="n">
        <x:v>3001</x:v>
      </x:c>
      <x:c r="B2" s="62" t="n">
        <x:v>45665</x:v>
      </x:c>
      <x:c r="C2" s="58" t="str">
        <x:v>West</x:v>
      </x:c>
      <x:c r="D2" s="58" t="str">
        <x:v>Monitor</x:v>
      </x:c>
      <x:c r="E2" s="68" t="n">
        <x:v>6</x:v>
      </x:c>
      <x:c r="F2" s="64" t="n">
        <x:v>0.05</x:v>
      </x:c>
      <x:c r="G2" s="58" t="str">
        <x:v>Returning</x:v>
      </x:c>
      <x:c r="H2" s="58" t="str">
        <x:v>Store</x:v>
      </x:c>
      <x:c r="I2" s="106" t="n">
        <x:f>IFERROR(VLOOKUP(D2,Lookups!$A$2:$B$7,2,FALSE),0)</x:f>
        <x:v>220</x:v>
      </x:c>
      <x:c r="J2" s="106" t="n">
        <x:f>E2*I2</x:f>
        <x:v>1320</x:v>
      </x:c>
      <x:c r="K2" s="106" t="n">
        <x:f>J2*(1-F2)</x:f>
        <x:v>1254</x:v>
      </x:c>
    </x:row>
    <x:row r="3">
      <x:c r="A3" s="58" t="n">
        <x:v>3002</x:v>
      </x:c>
      <x:c r="B3" s="62" t="n">
        <x:v>45672</x:v>
      </x:c>
      <x:c r="C3" s="58" t="str">
        <x:v>East</x:v>
      </x:c>
      <x:c r="D3" s="58" t="str">
        <x:v>Laptop</x:v>
      </x:c>
      <x:c r="E3" s="68" t="n">
        <x:v>4</x:v>
      </x:c>
      <x:c r="F3" s="64" t="n">
        <x:v>0.1</x:v>
      </x:c>
      <x:c r="G3" s="58" t="str">
        <x:v>Business</x:v>
      </x:c>
      <x:c r="H3" s="58" t="str">
        <x:v>Online</x:v>
      </x:c>
      <x:c r="I3" s="106" t="n">
        <x:f>IFERROR(VLOOKUP(D3,Lookups!$A$2:$B$7,2,FALSE),0)</x:f>
        <x:v>900</x:v>
      </x:c>
      <x:c r="J3" s="106" t="n">
        <x:f>E3*I3</x:f>
        <x:v>3600</x:v>
      </x:c>
      <x:c r="K3" s="106" t="n">
        <x:f>J3*(1-F3)</x:f>
        <x:v>3240</x:v>
      </x:c>
    </x:row>
    <x:row r="4">
      <x:c r="A4" s="58" t="n">
        <x:v>3003</x:v>
      </x:c>
      <x:c r="B4" s="62" t="n">
        <x:v>45680</x:v>
      </x:c>
      <x:c r="C4" s="58" t="str">
        <x:v>South</x:v>
      </x:c>
      <x:c r="D4" s="58" t="str">
        <x:v>Monitor</x:v>
      </x:c>
      <x:c r="E4" s="68" t="n">
        <x:v>2</x:v>
      </x:c>
      <x:c r="F4" s="64" t="n">
        <x:v>0.15</x:v>
      </x:c>
      <x:c r="G4" s="58" t="str">
        <x:v>New</x:v>
      </x:c>
      <x:c r="H4" s="58" t="str">
        <x:v>Store</x:v>
      </x:c>
      <x:c r="I4" s="106" t="n">
        <x:f>IFERROR(VLOOKUP(D4,Lookups!$A$2:$B$7,2,FALSE),0)</x:f>
        <x:v>220</x:v>
      </x:c>
      <x:c r="J4" s="106" t="n">
        <x:f>E4*I4</x:f>
        <x:v>440</x:v>
      </x:c>
      <x:c r="K4" s="106" t="n">
        <x:f>J4*(1-F4)</x:f>
        <x:v>374</x:v>
      </x:c>
    </x:row>
    <x:row r="5">
      <x:c r="A5" s="58" t="n">
        <x:v>3004</x:v>
      </x:c>
      <x:c r="B5" s="62" t="n">
        <x:v>45687</x:v>
      </x:c>
      <x:c r="C5" s="58" t="str">
        <x:v>North</x:v>
      </x:c>
      <x:c r="D5" s="58" t="str">
        <x:v>Phone</x:v>
      </x:c>
      <x:c r="E5" s="68" t="n">
        <x:v>7</x:v>
      </x:c>
      <x:c r="F5" s="64" t="n">
        <x:v>0</x:v>
      </x:c>
      <x:c r="G5" s="58" t="str">
        <x:v>Returning</x:v>
      </x:c>
      <x:c r="H5" s="58" t="str">
        <x:v>Online</x:v>
      </x:c>
      <x:c r="I5" s="106" t="n">
        <x:f>IFERROR(VLOOKUP(D5,Lookups!$A$2:$B$7,2,FALSE),0)</x:f>
        <x:v>500</x:v>
      </x:c>
      <x:c r="J5" s="106" t="n">
        <x:f>E5*I5</x:f>
        <x:v>3500</x:v>
      </x:c>
      <x:c r="K5" s="106" t="n">
        <x:f>J5*(1-F5)</x:f>
        <x:v>3500</x:v>
      </x:c>
    </x:row>
    <x:row r="6">
      <x:c r="A6" s="58" t="n">
        <x:v>3005</x:v>
      </x:c>
      <x:c r="B6" s="62" t="n">
        <x:v>45694</x:v>
      </x:c>
      <x:c r="C6" s="58" t="str">
        <x:v>North</x:v>
      </x:c>
      <x:c r="D6" s="58" t="str">
        <x:v>Keyboard</x:v>
      </x:c>
      <x:c r="E6" s="68" t="n">
        <x:v>5</x:v>
      </x:c>
      <x:c r="F6" s="64" t="n">
        <x:v>0.05</x:v>
      </x:c>
      <x:c r="G6" s="58" t="str">
        <x:v>Business</x:v>
      </x:c>
      <x:c r="H6" s="58" t="str">
        <x:v>Store</x:v>
      </x:c>
      <x:c r="I6" s="106" t="n">
        <x:f>IFERROR(VLOOKUP(D6,Lookups!$A$2:$B$7,2,FALSE),0)</x:f>
        <x:v>45</x:v>
      </x:c>
      <x:c r="J6" s="106" t="n">
        <x:f>E6*I6</x:f>
        <x:v>225</x:v>
      </x:c>
      <x:c r="K6" s="106" t="n">
        <x:f>J6*(1-F6)</x:f>
        <x:v>213.75</x:v>
      </x:c>
    </x:row>
    <x:row r="7">
      <x:c r="A7" s="58" t="n">
        <x:v>3006</x:v>
      </x:c>
      <x:c r="B7" s="62" t="n">
        <x:v>45702</x:v>
      </x:c>
      <x:c r="C7" s="58" t="str">
        <x:v>West</x:v>
      </x:c>
      <x:c r="D7" s="58" t="str">
        <x:v>Phone</x:v>
      </x:c>
      <x:c r="E7" s="68" t="n">
        <x:v>3</x:v>
      </x:c>
      <x:c r="F7" s="64" t="n">
        <x:v>0.1</x:v>
      </x:c>
      <x:c r="G7" s="58" t="str">
        <x:v>New</x:v>
      </x:c>
      <x:c r="H7" s="58" t="str">
        <x:v>Online</x:v>
      </x:c>
      <x:c r="I7" s="106" t="n">
        <x:f>IFERROR(VLOOKUP(D7,Lookups!$A$2:$B$7,2,FALSE),0)</x:f>
        <x:v>500</x:v>
      </x:c>
      <x:c r="J7" s="106" t="n">
        <x:f>E7*I7</x:f>
        <x:v>1500</x:v>
      </x:c>
      <x:c r="K7" s="106" t="n">
        <x:f>J7*(1-F7)</x:f>
        <x:v>1350</x:v>
      </x:c>
    </x:row>
    <x:row r="8">
      <x:c r="A8" s="58" t="n">
        <x:v>3007</x:v>
      </x:c>
      <x:c r="B8" s="62" t="n">
        <x:v>45709</x:v>
      </x:c>
      <x:c r="C8" s="58" t="str">
        <x:v>East</x:v>
      </x:c>
      <x:c r="D8" s="58" t="str">
        <x:v>Keyboard</x:v>
      </x:c>
      <x:c r="E8" s="68" t="n">
        <x:v>1</x:v>
      </x:c>
      <x:c r="F8" s="64" t="n">
        <x:v>0.15</x:v>
      </x:c>
      <x:c r="G8" s="58" t="str">
        <x:v>Returning</x:v>
      </x:c>
      <x:c r="H8" s="58" t="str">
        <x:v>Store</x:v>
      </x:c>
      <x:c r="I8" s="106" t="n">
        <x:f>IFERROR(VLOOKUP(D8,Lookups!$A$2:$B$7,2,FALSE),0)</x:f>
        <x:v>45</x:v>
      </x:c>
      <x:c r="J8" s="106" t="n">
        <x:f>E8*I8</x:f>
        <x:v>45</x:v>
      </x:c>
      <x:c r="K8" s="106" t="n">
        <x:f>J8*(1-F8)</x:f>
        <x:v>38.25</x:v>
      </x:c>
    </x:row>
    <x:row r="9">
      <x:c r="A9" s="58" t="n">
        <x:v>3008</x:v>
      </x:c>
      <x:c r="B9" s="62" t="n">
        <x:v>45716</x:v>
      </x:c>
      <x:c r="C9" s="58" t="str">
        <x:v>South</x:v>
      </x:c>
      <x:c r="D9" s="58" t="str">
        <x:v>Tablet</x:v>
      </x:c>
      <x:c r="E9" s="68" t="n">
        <x:v>6</x:v>
      </x:c>
      <x:c r="F9" s="64" t="n">
        <x:v>0</x:v>
      </x:c>
      <x:c r="G9" s="58" t="str">
        <x:v>Business</x:v>
      </x:c>
      <x:c r="H9" s="58" t="str">
        <x:v>Online</x:v>
      </x:c>
      <x:c r="I9" s="106" t="n">
        <x:f>IFERROR(VLOOKUP(D9,Lookups!$A$2:$B$7,2,FALSE),0)</x:f>
        <x:v>300</x:v>
      </x:c>
      <x:c r="J9" s="106" t="n">
        <x:f>E9*I9</x:f>
        <x:v>1800</x:v>
      </x:c>
      <x:c r="K9" s="106" t="n">
        <x:f>J9*(1-F9)</x:f>
        <x:v>1800</x:v>
      </x:c>
    </x:row>
    <x:row r="10">
      <x:c r="A10" s="58" t="n">
        <x:v>3009</x:v>
      </x:c>
      <x:c r="B10" s="62" t="n">
        <x:v>45724</x:v>
      </x:c>
      <x:c r="C10" s="58" t="str">
        <x:v>North</x:v>
      </x:c>
      <x:c r="D10" s="58" t="str">
        <x:v>Desk</x:v>
      </x:c>
      <x:c r="E10" s="68" t="n">
        <x:v>4</x:v>
      </x:c>
      <x:c r="F10" s="64" t="n">
        <x:v>0.05</x:v>
      </x:c>
      <x:c r="G10" s="58" t="str">
        <x:v>New</x:v>
      </x:c>
      <x:c r="H10" s="58" t="str">
        <x:v>Store</x:v>
      </x:c>
      <x:c r="I10" s="106" t="n">
        <x:f>IFERROR(VLOOKUP(D10,Lookups!$A$2:$B$7,2,FALSE),0)</x:f>
        <x:v>180</x:v>
      </x:c>
      <x:c r="J10" s="106" t="n">
        <x:f>E10*I10</x:f>
        <x:v>720</x:v>
      </x:c>
      <x:c r="K10" s="106" t="n">
        <x:f>J10*(1-F10)</x:f>
        <x:v>684</x:v>
      </x:c>
    </x:row>
    <x:row r="11">
      <x:c r="A11" s="58" t="n">
        <x:v>3010</x:v>
      </x:c>
      <x:c r="B11" s="62" t="n">
        <x:v>45731</x:v>
      </x:c>
      <x:c r="C11" s="58" t="str">
        <x:v>North</x:v>
      </x:c>
      <x:c r="D11" s="58" t="str">
        <x:v>Tablet</x:v>
      </x:c>
      <x:c r="E11" s="68" t="n">
        <x:v>2</x:v>
      </x:c>
      <x:c r="F11" s="64" t="n">
        <x:v>0.1</x:v>
      </x:c>
      <x:c r="G11" s="58" t="str">
        <x:v>Returning</x:v>
      </x:c>
      <x:c r="H11" s="58" t="str">
        <x:v>Online</x:v>
      </x:c>
      <x:c r="I11" s="106" t="n">
        <x:f>IFERROR(VLOOKUP(D11,Lookups!$A$2:$B$7,2,FALSE),0)</x:f>
        <x:v>300</x:v>
      </x:c>
      <x:c r="J11" s="106" t="n">
        <x:f>E11*I11</x:f>
        <x:v>600</x:v>
      </x:c>
      <x:c r="K11" s="106" t="n">
        <x:f>J11*(1-F11)</x:f>
        <x:v>540</x:v>
      </x:c>
    </x:row>
    <x:row r="12">
      <x:c r="A12" s="58" t="n">
        <x:v>3011</x:v>
      </x:c>
      <x:c r="B12" s="62" t="n">
        <x:v>45738</x:v>
      </x:c>
      <x:c r="C12" s="58" t="str">
        <x:v>West</x:v>
      </x:c>
      <x:c r="D12" s="58" t="str">
        <x:v>Desk</x:v>
      </x:c>
      <x:c r="E12" s="68" t="n">
        <x:v>7</x:v>
      </x:c>
      <x:c r="F12" s="64" t="n">
        <x:v>0.15</x:v>
      </x:c>
      <x:c r="G12" s="58" t="str">
        <x:v>Business</x:v>
      </x:c>
      <x:c r="H12" s="58" t="str">
        <x:v>Store</x:v>
      </x:c>
      <x:c r="I12" s="106" t="n">
        <x:f>IFERROR(VLOOKUP(D12,Lookups!$A$2:$B$7,2,FALSE),0)</x:f>
        <x:v>180</x:v>
      </x:c>
      <x:c r="J12" s="106" t="n">
        <x:f>E12*I12</x:f>
        <x:v>1260</x:v>
      </x:c>
      <x:c r="K12" s="106" t="n">
        <x:f>J12*(1-F12)</x:f>
        <x:v>1071</x:v>
      </x:c>
    </x:row>
    <x:row r="13">
      <x:c r="A13" s="58" t="n">
        <x:v>3012</x:v>
      </x:c>
      <x:c r="B13" s="62" t="n">
        <x:v>45746</x:v>
      </x:c>
      <x:c r="C13" s="58" t="str">
        <x:v>East</x:v>
      </x:c>
      <x:c r="D13" s="58" t="str">
        <x:v>Monitor</x:v>
      </x:c>
      <x:c r="E13" s="68" t="n">
        <x:v>5</x:v>
      </x:c>
      <x:c r="F13" s="64" t="n">
        <x:v>0</x:v>
      </x:c>
      <x:c r="G13" s="58" t="str">
        <x:v>New</x:v>
      </x:c>
      <x:c r="H13" s="58" t="str">
        <x:v>Online</x:v>
      </x:c>
      <x:c r="I13" s="106" t="n">
        <x:f>IFERROR(VLOOKUP(D13,Lookups!$A$2:$B$7,2,FALSE),0)</x:f>
        <x:v>220</x:v>
      </x:c>
      <x:c r="J13" s="106" t="n">
        <x:f>E13*I13</x:f>
        <x:v>1100</x:v>
      </x:c>
      <x:c r="K13" s="106" t="n">
        <x:f>J13*(1-F13)</x:f>
        <x:v>1100</x:v>
      </x:c>
    </x:row>
    <x:row r="14">
      <x:c r="A14" s="58" t="n">
        <x:v>3013</x:v>
      </x:c>
      <x:c r="B14" s="62" t="n">
        <x:v>45753</x:v>
      </x:c>
      <x:c r="C14" s="58" t="str">
        <x:v>South</x:v>
      </x:c>
      <x:c r="D14" s="58" t="str">
        <x:v>Laptop</x:v>
      </x:c>
      <x:c r="E14" s="68" t="n">
        <x:v>3</x:v>
      </x:c>
      <x:c r="F14" s="64" t="n">
        <x:v>0.05</x:v>
      </x:c>
      <x:c r="G14" s="58" t="str">
        <x:v>Returning</x:v>
      </x:c>
      <x:c r="H14" s="58" t="str">
        <x:v>Store</x:v>
      </x:c>
      <x:c r="I14" s="106" t="n">
        <x:f>IFERROR(VLOOKUP(D14,Lookups!$A$2:$B$7,2,FALSE),0)</x:f>
        <x:v>900</x:v>
      </x:c>
      <x:c r="J14" s="106" t="n">
        <x:f>E14*I14</x:f>
        <x:v>2700</x:v>
      </x:c>
      <x:c r="K14" s="106" t="n">
        <x:f>J14*(1-F14)</x:f>
        <x:v>2565</x:v>
      </x:c>
    </x:row>
    <x:row r="15">
      <x:c r="A15" s="58" t="n">
        <x:v>3014</x:v>
      </x:c>
      <x:c r="B15" s="62" t="n">
        <x:v>45760</x:v>
      </x:c>
      <x:c r="C15" s="58" t="str">
        <x:v>North</x:v>
      </x:c>
      <x:c r="D15" s="58" t="str">
        <x:v>Monitor</x:v>
      </x:c>
      <x:c r="E15" s="68" t="n">
        <x:v>1</x:v>
      </x:c>
      <x:c r="F15" s="64" t="n">
        <x:v>0.1</x:v>
      </x:c>
      <x:c r="G15" s="58" t="str">
        <x:v>Business</x:v>
      </x:c>
      <x:c r="H15" s="58" t="str">
        <x:v>Online</x:v>
      </x:c>
      <x:c r="I15" s="106" t="n">
        <x:f>IFERROR(VLOOKUP(D15,Lookups!$A$2:$B$7,2,FALSE),0)</x:f>
        <x:v>220</x:v>
      </x:c>
      <x:c r="J15" s="106" t="n">
        <x:f>E15*I15</x:f>
        <x:v>220</x:v>
      </x:c>
      <x:c r="K15" s="106" t="n">
        <x:f>J15*(1-F15)</x:f>
        <x:v>198</x:v>
      </x:c>
    </x:row>
    <x:row r="16">
      <x:c r="A16" s="58" t="n">
        <x:v>3015</x:v>
      </x:c>
      <x:c r="B16" s="62" t="n">
        <x:v>45768</x:v>
      </x:c>
      <x:c r="C16" s="58" t="str">
        <x:v>North</x:v>
      </x:c>
      <x:c r="D16" s="58" t="str">
        <x:v>Laptop</x:v>
      </x:c>
      <x:c r="E16" s="68" t="n">
        <x:v>6</x:v>
      </x:c>
      <x:c r="F16" s="64" t="n">
        <x:v>0.15</x:v>
      </x:c>
      <x:c r="G16" s="58" t="str">
        <x:v>New</x:v>
      </x:c>
      <x:c r="H16" s="58" t="str">
        <x:v>Store</x:v>
      </x:c>
      <x:c r="I16" s="106" t="n">
        <x:f>IFERROR(VLOOKUP(D16,Lookups!$A$2:$B$7,2,FALSE),0)</x:f>
        <x:v>900</x:v>
      </x:c>
      <x:c r="J16" s="106" t="n">
        <x:f>E16*I16</x:f>
        <x:v>5400</x:v>
      </x:c>
      <x:c r="K16" s="106" t="n">
        <x:f>J16*(1-F16)</x:f>
        <x:v>4590</x:v>
      </x:c>
    </x:row>
    <x:row r="17">
      <x:c r="A17" s="58" t="n">
        <x:v>3016</x:v>
      </x:c>
      <x:c r="B17" s="62" t="n">
        <x:v>45775</x:v>
      </x:c>
      <x:c r="C17" s="58" t="str">
        <x:v>West</x:v>
      </x:c>
      <x:c r="D17" s="58" t="str">
        <x:v>Keyboard</x:v>
      </x:c>
      <x:c r="E17" s="68" t="n">
        <x:v>4</x:v>
      </x:c>
      <x:c r="F17" s="64" t="n">
        <x:v>0</x:v>
      </x:c>
      <x:c r="G17" s="58" t="str">
        <x:v>Returning</x:v>
      </x:c>
      <x:c r="H17" s="58" t="str">
        <x:v>Online</x:v>
      </x:c>
      <x:c r="I17" s="106" t="n">
        <x:f>IFERROR(VLOOKUP(D17,Lookups!$A$2:$B$7,2,FALSE),0)</x:f>
        <x:v>45</x:v>
      </x:c>
      <x:c r="J17" s="106" t="n">
        <x:f>E17*I17</x:f>
        <x:v>180</x:v>
      </x:c>
      <x:c r="K17" s="106" t="n">
        <x:f>J17*(1-F17)</x:f>
        <x:v>180</x:v>
      </x:c>
    </x:row>
    <x:row r="18">
      <x:c r="A18" s="58" t="n">
        <x:v>3017</x:v>
      </x:c>
      <x:c r="B18" s="62" t="n">
        <x:v>45782</x:v>
      </x:c>
      <x:c r="C18" s="58" t="str">
        <x:v>East</x:v>
      </x:c>
      <x:c r="D18" s="58" t="str">
        <x:v>Phone</x:v>
      </x:c>
      <x:c r="E18" s="68" t="n">
        <x:v>2</x:v>
      </x:c>
      <x:c r="F18" s="64" t="n">
        <x:v>0.05</x:v>
      </x:c>
      <x:c r="G18" s="58" t="str">
        <x:v>Business</x:v>
      </x:c>
      <x:c r="H18" s="58" t="str">
        <x:v>Store</x:v>
      </x:c>
      <x:c r="I18" s="106" t="n">
        <x:f>IFERROR(VLOOKUP(D18,Lookups!$A$2:$B$7,2,FALSE),0)</x:f>
        <x:v>500</x:v>
      </x:c>
      <x:c r="J18" s="106" t="n">
        <x:f>E18*I18</x:f>
        <x:v>1000</x:v>
      </x:c>
      <x:c r="K18" s="106" t="n">
        <x:f>J18*(1-F18)</x:f>
        <x:v>950</x:v>
      </x:c>
    </x:row>
    <x:row r="19">
      <x:c r="A19" s="58" t="n">
        <x:v>3018</x:v>
      </x:c>
      <x:c r="B19" s="62" t="n">
        <x:v>45790</x:v>
      </x:c>
      <x:c r="C19" s="58" t="str">
        <x:v>South</x:v>
      </x:c>
      <x:c r="D19" s="58" t="str">
        <x:v>Keyboard</x:v>
      </x:c>
      <x:c r="E19" s="68" t="n">
        <x:v>7</x:v>
      </x:c>
      <x:c r="F19" s="64" t="n">
        <x:v>0.1</x:v>
      </x:c>
      <x:c r="G19" s="58" t="str">
        <x:v>New</x:v>
      </x:c>
      <x:c r="H19" s="58" t="str">
        <x:v>Online</x:v>
      </x:c>
      <x:c r="I19" s="106" t="n">
        <x:f>IFERROR(VLOOKUP(D19,Lookups!$A$2:$B$7,2,FALSE),0)</x:f>
        <x:v>45</x:v>
      </x:c>
      <x:c r="J19" s="106" t="n">
        <x:f>E19*I19</x:f>
        <x:v>315</x:v>
      </x:c>
      <x:c r="K19" s="106" t="n">
        <x:f>J19*(1-F19)</x:f>
        <x:v>283.5</x:v>
      </x:c>
    </x:row>
    <x:row r="20">
      <x:c r="A20" s="58" t="n">
        <x:v>3019</x:v>
      </x:c>
      <x:c r="B20" s="62" t="n">
        <x:v>45797</x:v>
      </x:c>
      <x:c r="C20" s="58" t="str">
        <x:v>North</x:v>
      </x:c>
      <x:c r="D20" s="58" t="str">
        <x:v>Phone</x:v>
      </x:c>
      <x:c r="E20" s="68" t="n">
        <x:v>5</x:v>
      </x:c>
      <x:c r="F20" s="64" t="n">
        <x:v>0.15</x:v>
      </x:c>
      <x:c r="G20" s="58" t="str">
        <x:v>Returning</x:v>
      </x:c>
      <x:c r="H20" s="58" t="str">
        <x:v>Store</x:v>
      </x:c>
      <x:c r="I20" s="106" t="n">
        <x:f>IFERROR(VLOOKUP(D20,Lookups!$A$2:$B$7,2,FALSE),0)</x:f>
        <x:v>500</x:v>
      </x:c>
      <x:c r="J20" s="106" t="n">
        <x:f>E20*I20</x:f>
        <x:v>2500</x:v>
      </x:c>
      <x:c r="K20" s="106" t="n">
        <x:f>J20*(1-F20)</x:f>
        <x:v>2125</x:v>
      </x:c>
    </x:row>
    <x:row r="21">
      <x:c r="A21" s="58" t="n">
        <x:v>3020</x:v>
      </x:c>
      <x:c r="B21" s="62" t="n">
        <x:v>45804</x:v>
      </x:c>
      <x:c r="C21" s="58" t="str">
        <x:v>North</x:v>
      </x:c>
      <x:c r="D21" s="58" t="str">
        <x:v>Desk</x:v>
      </x:c>
      <x:c r="E21" s="68" t="n">
        <x:v>3</x:v>
      </x:c>
      <x:c r="F21" s="64" t="n">
        <x:v>0</x:v>
      </x:c>
      <x:c r="G21" s="58" t="str">
        <x:v>Business</x:v>
      </x:c>
      <x:c r="H21" s="58" t="str">
        <x:v>Online</x:v>
      </x:c>
      <x:c r="I21" s="106" t="n">
        <x:f>IFERROR(VLOOKUP(D21,Lookups!$A$2:$B$7,2,FALSE),0)</x:f>
        <x:v>180</x:v>
      </x:c>
      <x:c r="J21" s="106" t="n">
        <x:f>E21*I21</x:f>
        <x:v>540</x:v>
      </x:c>
      <x:c r="K21" s="106" t="n">
        <x:f>J21*(1-F21)</x:f>
        <x:v>540</x:v>
      </x:c>
    </x:row>
    <x:row r="22">
      <x:c r="A22" s="58" t="n">
        <x:v>3021</x:v>
      </x:c>
      <x:c r="B22" s="62" t="n">
        <x:v>45812</x:v>
      </x:c>
      <x:c r="C22" s="58" t="str">
        <x:v>West</x:v>
      </x:c>
      <x:c r="D22" s="58" t="str">
        <x:v>Tablet</x:v>
      </x:c>
      <x:c r="E22" s="68" t="n">
        <x:v>1</x:v>
      </x:c>
      <x:c r="F22" s="64" t="n">
        <x:v>0.05</x:v>
      </x:c>
      <x:c r="G22" s="58" t="str">
        <x:v>New</x:v>
      </x:c>
      <x:c r="H22" s="58" t="str">
        <x:v>Store</x:v>
      </x:c>
      <x:c r="I22" s="106" t="n">
        <x:f>IFERROR(VLOOKUP(D22,Lookups!$A$2:$B$7,2,FALSE),0)</x:f>
        <x:v>300</x:v>
      </x:c>
      <x:c r="J22" s="106" t="n">
        <x:f>E22*I22</x:f>
        <x:v>300</x:v>
      </x:c>
      <x:c r="K22" s="106" t="n">
        <x:f>J22*(1-F22)</x:f>
        <x:v>285</x:v>
      </x:c>
    </x:row>
    <x:row r="23">
      <x:c r="A23" s="58" t="n">
        <x:v>3022</x:v>
      </x:c>
      <x:c r="B23" s="62" t="n">
        <x:v>45819</x:v>
      </x:c>
      <x:c r="C23" s="58" t="str">
        <x:v>East</x:v>
      </x:c>
      <x:c r="D23" s="58" t="str">
        <x:v>Desk</x:v>
      </x:c>
      <x:c r="E23" s="68" t="n">
        <x:v>6</x:v>
      </x:c>
      <x:c r="F23" s="64" t="n">
        <x:v>0.1</x:v>
      </x:c>
      <x:c r="G23" s="58" t="str">
        <x:v>Returning</x:v>
      </x:c>
      <x:c r="H23" s="58" t="str">
        <x:v>Online</x:v>
      </x:c>
      <x:c r="I23" s="106" t="n">
        <x:f>IFERROR(VLOOKUP(D23,Lookups!$A$2:$B$7,2,FALSE),0)</x:f>
        <x:v>180</x:v>
      </x:c>
      <x:c r="J23" s="106" t="n">
        <x:f>E23*I23</x:f>
        <x:v>1080</x:v>
      </x:c>
      <x:c r="K23" s="106" t="n">
        <x:f>J23*(1-F23)</x:f>
        <x:v>972</x:v>
      </x:c>
    </x:row>
    <x:row r="24">
      <x:c r="A24" s="58" t="n">
        <x:v>3023</x:v>
      </x:c>
      <x:c r="B24" s="62" t="n">
        <x:v>45826</x:v>
      </x:c>
      <x:c r="C24" s="58" t="str">
        <x:v>South</x:v>
      </x:c>
      <x:c r="D24" s="58" t="str">
        <x:v>Tablet</x:v>
      </x:c>
      <x:c r="E24" s="68" t="n">
        <x:v>4</x:v>
      </x:c>
      <x:c r="F24" s="64" t="n">
        <x:v>0.15</x:v>
      </x:c>
      <x:c r="G24" s="58" t="str">
        <x:v>Business</x:v>
      </x:c>
      <x:c r="H24" s="58" t="str">
        <x:v>Store</x:v>
      </x:c>
      <x:c r="I24" s="106" t="n">
        <x:f>IFERROR(VLOOKUP(D24,Lookups!$A$2:$B$7,2,FALSE),0)</x:f>
        <x:v>300</x:v>
      </x:c>
      <x:c r="J24" s="106" t="n">
        <x:f>E24*I24</x:f>
        <x:v>1200</x:v>
      </x:c>
      <x:c r="K24" s="106" t="n">
        <x:f>J24*(1-F24)</x:f>
        <x:v>1020</x:v>
      </x:c>
    </x:row>
    <x:row r="25">
      <x:c r="A25" s="58" t="n">
        <x:v>3024</x:v>
      </x:c>
      <x:c r="B25" s="62" t="n">
        <x:v>45834</x:v>
      </x:c>
      <x:c r="C25" s="58" t="str">
        <x:v>North</x:v>
      </x:c>
      <x:c r="D25" s="58" t="str">
        <x:v>Laptop</x:v>
      </x:c>
      <x:c r="E25" s="68" t="n">
        <x:v>2</x:v>
      </x:c>
      <x:c r="F25" s="64" t="n">
        <x:v>0</x:v>
      </x:c>
      <x:c r="G25" s="58" t="str">
        <x:v>New</x:v>
      </x:c>
      <x:c r="H25" s="58" t="str">
        <x:v>Online</x:v>
      </x:c>
      <x:c r="I25" s="106" t="n">
        <x:f>IFERROR(VLOOKUP(D25,Lookups!$A$2:$B$7,2,FALSE),0)</x:f>
        <x:v>900</x:v>
      </x:c>
      <x:c r="J25" s="106" t="n">
        <x:f>E25*I25</x:f>
        <x:v>1800</x:v>
      </x:c>
      <x:c r="K25" s="106" t="n">
        <x:f>J25*(1-F25)</x:f>
        <x:v>1800</x:v>
      </x:c>
    </x:row>
    <x:row r="26">
      <x:c r="A26" s="58" t="n">
        <x:v>3025</x:v>
      </x:c>
      <x:c r="B26" s="62" t="n">
        <x:v>45661</x:v>
      </x:c>
      <x:c r="C26" s="58" t="str">
        <x:v>North</x:v>
      </x:c>
      <x:c r="D26" s="58" t="str">
        <x:v>Monitor</x:v>
      </x:c>
      <x:c r="E26" s="68" t="n">
        <x:v>7</x:v>
      </x:c>
      <x:c r="F26" s="64" t="n">
        <x:v>0.05</x:v>
      </x:c>
      <x:c r="G26" s="58" t="str">
        <x:v>Returning</x:v>
      </x:c>
      <x:c r="H26" s="58" t="str">
        <x:v>Store</x:v>
      </x:c>
      <x:c r="I26" s="106" t="n">
        <x:f>IFERROR(VLOOKUP(D26,Lookups!$A$2:$B$7,2,FALSE),0)</x:f>
        <x:v>220</x:v>
      </x:c>
      <x:c r="J26" s="106" t="n">
        <x:f>E26*I26</x:f>
        <x:v>1540</x:v>
      </x:c>
      <x:c r="K26" s="106" t="n">
        <x:f>J26*(1-F26)</x:f>
        <x:v>1463</x:v>
      </x:c>
    </x:row>
    <x:row r="27">
      <x:c r="A27" s="58" t="n">
        <x:v>3026</x:v>
      </x:c>
      <x:c r="B27" s="62" t="n">
        <x:v>45668</x:v>
      </x:c>
      <x:c r="C27" s="58" t="str">
        <x:v>West</x:v>
      </x:c>
      <x:c r="D27" s="58" t="str">
        <x:v>Laptop</x:v>
      </x:c>
      <x:c r="E27" s="68" t="n">
        <x:v>5</x:v>
      </x:c>
      <x:c r="F27" s="64" t="n">
        <x:v>0.1</x:v>
      </x:c>
      <x:c r="G27" s="58" t="str">
        <x:v>Business</x:v>
      </x:c>
      <x:c r="H27" s="58" t="str">
        <x:v>Online</x:v>
      </x:c>
      <x:c r="I27" s="106" t="n">
        <x:f>IFERROR(VLOOKUP(D27,Lookups!$A$2:$B$7,2,FALSE),0)</x:f>
        <x:v>900</x:v>
      </x:c>
      <x:c r="J27" s="106" t="n">
        <x:f>E27*I27</x:f>
        <x:v>4500</x:v>
      </x:c>
      <x:c r="K27" s="106" t="n">
        <x:f>J27*(1-F27)</x:f>
        <x:v>4050</x:v>
      </x:c>
    </x:row>
    <x:row r="28">
      <x:c r="A28" s="58" t="n">
        <x:v>3027</x:v>
      </x:c>
      <x:c r="B28" s="62" t="n">
        <x:v>45676</x:v>
      </x:c>
      <x:c r="C28" s="58" t="str">
        <x:v>East</x:v>
      </x:c>
      <x:c r="D28" s="58" t="str">
        <x:v>Monitor</x:v>
      </x:c>
      <x:c r="E28" s="68" t="n">
        <x:v>3</x:v>
      </x:c>
      <x:c r="F28" s="64" t="n">
        <x:v>0.15</x:v>
      </x:c>
      <x:c r="G28" s="58" t="str">
        <x:v>New</x:v>
      </x:c>
      <x:c r="H28" s="58" t="str">
        <x:v>Store</x:v>
      </x:c>
      <x:c r="I28" s="106" t="n">
        <x:f>IFERROR(VLOOKUP(D28,Lookups!$A$2:$B$7,2,FALSE),0)</x:f>
        <x:v>220</x:v>
      </x:c>
      <x:c r="J28" s="106" t="n">
        <x:f>E28*I28</x:f>
        <x:v>660</x:v>
      </x:c>
      <x:c r="K28" s="106" t="n">
        <x:f>J28*(1-F28)</x:f>
        <x:v>561</x:v>
      </x:c>
    </x:row>
    <x:row r="29">
      <x:c r="A29" s="58" t="n">
        <x:v>3028</x:v>
      </x:c>
      <x:c r="B29" s="62" t="n">
        <x:v>45683</x:v>
      </x:c>
      <x:c r="C29" s="58" t="str">
        <x:v>South</x:v>
      </x:c>
      <x:c r="D29" s="58" t="str">
        <x:v>Phone</x:v>
      </x:c>
      <x:c r="E29" s="68" t="n">
        <x:v>1</x:v>
      </x:c>
      <x:c r="F29" s="64" t="n">
        <x:v>0</x:v>
      </x:c>
      <x:c r="G29" s="58" t="str">
        <x:v>Returning</x:v>
      </x:c>
      <x:c r="H29" s="58" t="str">
        <x:v>Online</x:v>
      </x:c>
      <x:c r="I29" s="106" t="n">
        <x:f>IFERROR(VLOOKUP(D29,Lookups!$A$2:$B$7,2,FALSE),0)</x:f>
        <x:v>500</x:v>
      </x:c>
      <x:c r="J29" s="106" t="n">
        <x:f>E29*I29</x:f>
        <x:v>500</x:v>
      </x:c>
      <x:c r="K29" s="106" t="n">
        <x:f>J29*(1-F29)</x:f>
        <x:v>500</x:v>
      </x:c>
    </x:row>
    <x:row r="30">
      <x:c r="A30" s="58" t="n">
        <x:v>3029</x:v>
      </x:c>
      <x:c r="B30" s="62" t="n">
        <x:v>45690</x:v>
      </x:c>
      <x:c r="C30" s="58" t="str">
        <x:v>North</x:v>
      </x:c>
      <x:c r="D30" s="58" t="str">
        <x:v>Keyboard</x:v>
      </x:c>
      <x:c r="E30" s="68" t="n">
        <x:v>6</x:v>
      </x:c>
      <x:c r="F30" s="64" t="n">
        <x:v>0.05</x:v>
      </x:c>
      <x:c r="G30" s="58" t="str">
        <x:v>Business</x:v>
      </x:c>
      <x:c r="H30" s="58" t="str">
        <x:v>Store</x:v>
      </x:c>
      <x:c r="I30" s="106" t="n">
        <x:f>IFERROR(VLOOKUP(D30,Lookups!$A$2:$B$7,2,FALSE),0)</x:f>
        <x:v>45</x:v>
      </x:c>
      <x:c r="J30" s="106" t="n">
        <x:f>E30*I30</x:f>
        <x:v>270</x:v>
      </x:c>
      <x:c r="K30" s="106" t="n">
        <x:f>J30*(1-F30)</x:f>
        <x:v>256.5</x:v>
      </x:c>
    </x:row>
    <x:row r="31">
      <x:c r="A31" s="58" t="n">
        <x:v>3030</x:v>
      </x:c>
      <x:c r="B31" s="62" t="n">
        <x:v>45698</x:v>
      </x:c>
      <x:c r="C31" s="58" t="str">
        <x:v>North</x:v>
      </x:c>
      <x:c r="D31" s="58" t="str">
        <x:v>Phone</x:v>
      </x:c>
      <x:c r="E31" s="68" t="n">
        <x:v>4</x:v>
      </x:c>
      <x:c r="F31" s="64" t="n">
        <x:v>0.1</x:v>
      </x:c>
      <x:c r="G31" s="58" t="str">
        <x:v>New</x:v>
      </x:c>
      <x:c r="H31" s="58" t="str">
        <x:v>Online</x:v>
      </x:c>
      <x:c r="I31" s="106" t="n">
        <x:f>IFERROR(VLOOKUP(D31,Lookups!$A$2:$B$7,2,FALSE),0)</x:f>
        <x:v>500</x:v>
      </x:c>
      <x:c r="J31" s="106" t="n">
        <x:f>E31*I31</x:f>
        <x:v>2000</x:v>
      </x:c>
      <x:c r="K31" s="106" t="n">
        <x:f>J31*(1-F31)</x:f>
        <x:v>1800</x:v>
      </x:c>
    </x:row>
    <x:row r="32">
      <x:c r="A32" s="58" t="n">
        <x:v>3031</x:v>
      </x:c>
      <x:c r="B32" s="62" t="n">
        <x:v>45705</x:v>
      </x:c>
      <x:c r="C32" s="58" t="str">
        <x:v>West</x:v>
      </x:c>
      <x:c r="D32" s="58" t="str">
        <x:v>Keyboard</x:v>
      </x:c>
      <x:c r="E32" s="68" t="n">
        <x:v>2</x:v>
      </x:c>
      <x:c r="F32" s="64" t="n">
        <x:v>0.15</x:v>
      </x:c>
      <x:c r="G32" s="58" t="str">
        <x:v>Returning</x:v>
      </x:c>
      <x:c r="H32" s="58" t="str">
        <x:v>Store</x:v>
      </x:c>
      <x:c r="I32" s="106" t="n">
        <x:f>IFERROR(VLOOKUP(D32,Lookups!$A$2:$B$7,2,FALSE),0)</x:f>
        <x:v>45</x:v>
      </x:c>
      <x:c r="J32" s="106" t="n">
        <x:f>E32*I32</x:f>
        <x:v>90</x:v>
      </x:c>
      <x:c r="K32" s="106" t="n">
        <x:f>J32*(1-F32)</x:f>
        <x:v>76.5</x:v>
      </x:c>
    </x:row>
    <x:row r="33">
      <x:c r="A33" s="58" t="n">
        <x:v>3032</x:v>
      </x:c>
      <x:c r="B33" s="62" t="n">
        <x:v>45712</x:v>
      </x:c>
      <x:c r="C33" s="58" t="str">
        <x:v>East</x:v>
      </x:c>
      <x:c r="D33" s="58" t="str">
        <x:v>Tablet</x:v>
      </x:c>
      <x:c r="E33" s="68" t="n">
        <x:v>7</x:v>
      </x:c>
      <x:c r="F33" s="64" t="n">
        <x:v>0</x:v>
      </x:c>
      <x:c r="G33" s="58" t="str">
        <x:v>Business</x:v>
      </x:c>
      <x:c r="H33" s="58" t="str">
        <x:v>Online</x:v>
      </x:c>
      <x:c r="I33" s="106" t="n">
        <x:f>IFERROR(VLOOKUP(D33,Lookups!$A$2:$B$7,2,FALSE),0)</x:f>
        <x:v>300</x:v>
      </x:c>
      <x:c r="J33" s="106" t="n">
        <x:f>E33*I33</x:f>
        <x:v>2100</x:v>
      </x:c>
      <x:c r="K33" s="106" t="n">
        <x:f>J33*(1-F33)</x:f>
        <x:v>2100</x:v>
      </x:c>
    </x:row>
    <x:row r="34">
      <x:c r="A34" s="58" t="n">
        <x:v>3033</x:v>
      </x:c>
      <x:c r="B34" s="62" t="n">
        <x:v>45720</x:v>
      </x:c>
      <x:c r="C34" s="58" t="str">
        <x:v>South</x:v>
      </x:c>
      <x:c r="D34" s="58" t="str">
        <x:v>Desk</x:v>
      </x:c>
      <x:c r="E34" s="68" t="n">
        <x:v>5</x:v>
      </x:c>
      <x:c r="F34" s="64" t="n">
        <x:v>0.05</x:v>
      </x:c>
      <x:c r="G34" s="58" t="str">
        <x:v>New</x:v>
      </x:c>
      <x:c r="H34" s="58" t="str">
        <x:v>Store</x:v>
      </x:c>
      <x:c r="I34" s="106" t="n">
        <x:f>IFERROR(VLOOKUP(D34,Lookups!$A$2:$B$7,2,FALSE),0)</x:f>
        <x:v>180</x:v>
      </x:c>
      <x:c r="J34" s="106" t="n">
        <x:f>E34*I34</x:f>
        <x:v>900</x:v>
      </x:c>
      <x:c r="K34" s="106" t="n">
        <x:f>J34*(1-F34)</x:f>
        <x:v>855</x:v>
      </x:c>
    </x:row>
    <x:row r="35">
      <x:c r="A35" s="58" t="n">
        <x:v>3034</x:v>
      </x:c>
      <x:c r="B35" s="62" t="n">
        <x:v>45727</x:v>
      </x:c>
      <x:c r="C35" s="58" t="str">
        <x:v>North</x:v>
      </x:c>
      <x:c r="D35" s="58" t="str">
        <x:v>Tablet</x:v>
      </x:c>
      <x:c r="E35" s="68" t="n">
        <x:v>3</x:v>
      </x:c>
      <x:c r="F35" s="64" t="n">
        <x:v>0.1</x:v>
      </x:c>
      <x:c r="G35" s="58" t="str">
        <x:v>Returning</x:v>
      </x:c>
      <x:c r="H35" s="58" t="str">
        <x:v>Online</x:v>
      </x:c>
      <x:c r="I35" s="106" t="n">
        <x:f>IFERROR(VLOOKUP(D35,Lookups!$A$2:$B$7,2,FALSE),0)</x:f>
        <x:v>300</x:v>
      </x:c>
      <x:c r="J35" s="106" t="n">
        <x:f>E35*I35</x:f>
        <x:v>900</x:v>
      </x:c>
      <x:c r="K35" s="106" t="n">
        <x:f>J35*(1-F35)</x:f>
        <x:v>810</x:v>
      </x:c>
    </x:row>
    <x:row r="36">
      <x:c r="A36" s="58" t="n">
        <x:v>3035</x:v>
      </x:c>
      <x:c r="B36" s="62" t="n">
        <x:v>45734</x:v>
      </x:c>
      <x:c r="C36" s="58" t="str">
        <x:v>North</x:v>
      </x:c>
      <x:c r="D36" s="58" t="str">
        <x:v>Desk</x:v>
      </x:c>
      <x:c r="E36" s="68" t="n">
        <x:v>1</x:v>
      </x:c>
      <x:c r="F36" s="64" t="n">
        <x:v>0.15</x:v>
      </x:c>
      <x:c r="G36" s="58" t="str">
        <x:v>Business</x:v>
      </x:c>
      <x:c r="H36" s="58" t="str">
        <x:v>Store</x:v>
      </x:c>
      <x:c r="I36" s="106" t="n">
        <x:f>IFERROR(VLOOKUP(D36,Lookups!$A$2:$B$7,2,FALSE),0)</x:f>
        <x:v>180</x:v>
      </x:c>
      <x:c r="J36" s="106" t="n">
        <x:f>E36*I36</x:f>
        <x:v>180</x:v>
      </x:c>
      <x:c r="K36" s="106" t="n">
        <x:f>J36*(1-F36)</x:f>
        <x:v>153</x:v>
      </x:c>
    </x:row>
    <x:row r="37">
      <x:c r="A37" s="58" t="n">
        <x:v>3036</x:v>
      </x:c>
      <x:c r="B37" s="62" t="n">
        <x:v>45742</x:v>
      </x:c>
      <x:c r="C37" s="58" t="str">
        <x:v>West</x:v>
      </x:c>
      <x:c r="D37" s="58" t="str">
        <x:v>Monitor</x:v>
      </x:c>
      <x:c r="E37" s="68" t="n">
        <x:v>6</x:v>
      </x:c>
      <x:c r="F37" s="64" t="n">
        <x:v>0</x:v>
      </x:c>
      <x:c r="G37" s="58" t="str">
        <x:v>New</x:v>
      </x:c>
      <x:c r="H37" s="58" t="str">
        <x:v>Online</x:v>
      </x:c>
      <x:c r="I37" s="106" t="n">
        <x:f>IFERROR(VLOOKUP(D37,Lookups!$A$2:$B$7,2,FALSE),0)</x:f>
        <x:v>220</x:v>
      </x:c>
      <x:c r="J37" s="106" t="n">
        <x:f>E37*I37</x:f>
        <x:v>1320</x:v>
      </x:c>
      <x:c r="K37" s="106" t="n">
        <x:f>J37*(1-F37)</x:f>
        <x:v>1320</x:v>
      </x:c>
    </x:row>
    <x:row r="38">
      <x:c r="A38" s="58" t="n">
        <x:v>3037</x:v>
      </x:c>
      <x:c r="B38" s="62" t="n">
        <x:v>45749</x:v>
      </x:c>
      <x:c r="C38" s="58" t="str">
        <x:v>East</x:v>
      </x:c>
      <x:c r="D38" s="58" t="str">
        <x:v>Laptop</x:v>
      </x:c>
      <x:c r="E38" s="68" t="n">
        <x:v>4</x:v>
      </x:c>
      <x:c r="F38" s="64" t="n">
        <x:v>0.05</x:v>
      </x:c>
      <x:c r="G38" s="58" t="str">
        <x:v>Returning</x:v>
      </x:c>
      <x:c r="H38" s="58" t="str">
        <x:v>Store</x:v>
      </x:c>
      <x:c r="I38" s="106" t="n">
        <x:f>IFERROR(VLOOKUP(D38,Lookups!$A$2:$B$7,2,FALSE),0)</x:f>
        <x:v>900</x:v>
      </x:c>
      <x:c r="J38" s="106" t="n">
        <x:f>E38*I38</x:f>
        <x:v>3600</x:v>
      </x:c>
      <x:c r="K38" s="106" t="n">
        <x:f>J38*(1-F38)</x:f>
        <x:v>3420</x:v>
      </x:c>
    </x:row>
    <x:row r="39">
      <x:c r="A39" s="58" t="n">
        <x:v>3038</x:v>
      </x:c>
      <x:c r="B39" s="62" t="n">
        <x:v>45756</x:v>
      </x:c>
      <x:c r="C39" s="58" t="str">
        <x:v>South</x:v>
      </x:c>
      <x:c r="D39" s="58" t="str">
        <x:v>Monitor</x:v>
      </x:c>
      <x:c r="E39" s="68" t="n">
        <x:v>2</x:v>
      </x:c>
      <x:c r="F39" s="64" t="n">
        <x:v>0.1</x:v>
      </x:c>
      <x:c r="G39" s="58" t="str">
        <x:v>Business</x:v>
      </x:c>
      <x:c r="H39" s="58" t="str">
        <x:v>Online</x:v>
      </x:c>
      <x:c r="I39" s="106" t="n">
        <x:f>IFERROR(VLOOKUP(D39,Lookups!$A$2:$B$7,2,FALSE),0)</x:f>
        <x:v>220</x:v>
      </x:c>
      <x:c r="J39" s="106" t="n">
        <x:f>E39*I39</x:f>
        <x:v>440</x:v>
      </x:c>
      <x:c r="K39" s="106" t="n">
        <x:f>J39*(1-F39)</x:f>
        <x:v>396</x:v>
      </x:c>
    </x:row>
    <x:row r="40">
      <x:c r="A40" s="58" t="n">
        <x:v>3039</x:v>
      </x:c>
      <x:c r="B40" s="62" t="n">
        <x:v>45764</x:v>
      </x:c>
      <x:c r="C40" s="58" t="str">
        <x:v>North</x:v>
      </x:c>
      <x:c r="D40" s="58" t="str">
        <x:v>Laptop</x:v>
      </x:c>
      <x:c r="E40" s="68" t="n">
        <x:v>7</x:v>
      </x:c>
      <x:c r="F40" s="64" t="n">
        <x:v>0.15</x:v>
      </x:c>
      <x:c r="G40" s="58" t="str">
        <x:v>New</x:v>
      </x:c>
      <x:c r="H40" s="58" t="str">
        <x:v>Store</x:v>
      </x:c>
      <x:c r="I40" s="106" t="n">
        <x:f>IFERROR(VLOOKUP(D40,Lookups!$A$2:$B$7,2,FALSE),0)</x:f>
        <x:v>900</x:v>
      </x:c>
      <x:c r="J40" s="106" t="n">
        <x:f>E40*I40</x:f>
        <x:v>6300</x:v>
      </x:c>
      <x:c r="K40" s="106" t="n">
        <x:f>J40*(1-F40)</x:f>
        <x:v>5355</x:v>
      </x:c>
    </x:row>
    <x:row r="41">
      <x:c r="A41" s="58" t="n">
        <x:v>3040</x:v>
      </x:c>
      <x:c r="B41" s="62" t="n">
        <x:v>45771</x:v>
      </x:c>
      <x:c r="C41" s="58" t="str">
        <x:v>North</x:v>
      </x:c>
      <x:c r="D41" s="58" t="str">
        <x:v>Keyboard</x:v>
      </x:c>
      <x:c r="E41" s="68" t="n">
        <x:v>5</x:v>
      </x:c>
      <x:c r="F41" s="64" t="n">
        <x:v>0</x:v>
      </x:c>
      <x:c r="G41" s="58" t="str">
        <x:v>Returning</x:v>
      </x:c>
      <x:c r="H41" s="58" t="str">
        <x:v>Online</x:v>
      </x:c>
      <x:c r="I41" s="106" t="n">
        <x:f>IFERROR(VLOOKUP(D41,Lookups!$A$2:$B$7,2,FALSE),0)</x:f>
        <x:v>45</x:v>
      </x:c>
      <x:c r="J41" s="106" t="n">
        <x:f>E41*I41</x:f>
        <x:v>225</x:v>
      </x:c>
      <x:c r="K41" s="106" t="n">
        <x:f>J41*(1-F41)</x:f>
        <x:v>225</x:v>
      </x:c>
    </x:row>
    <x:row r="42">
      <x:c r="A42" s="58" t="n">
        <x:v>3041</x:v>
      </x:c>
      <x:c r="B42" s="62" t="n">
        <x:v>45778</x:v>
      </x:c>
      <x:c r="C42" s="58" t="str">
        <x:v>West</x:v>
      </x:c>
      <x:c r="D42" s="58" t="str">
        <x:v>Phone</x:v>
      </x:c>
      <x:c r="E42" s="68" t="n">
        <x:v>3</x:v>
      </x:c>
      <x:c r="F42" s="64" t="n">
        <x:v>0.05</x:v>
      </x:c>
      <x:c r="G42" s="58" t="str">
        <x:v>Business</x:v>
      </x:c>
      <x:c r="H42" s="58" t="str">
        <x:v>Store</x:v>
      </x:c>
      <x:c r="I42" s="106" t="n">
        <x:f>IFERROR(VLOOKUP(D42,Lookups!$A$2:$B$7,2,FALSE),0)</x:f>
        <x:v>500</x:v>
      </x:c>
      <x:c r="J42" s="106" t="n">
        <x:f>E42*I42</x:f>
        <x:v>1500</x:v>
      </x:c>
      <x:c r="K42" s="106" t="n">
        <x:f>J42*(1-F42)</x:f>
        <x:v>1425</x:v>
      </x:c>
    </x:row>
    <x:row r="43">
      <x:c r="A43" s="58" t="n">
        <x:v>3042</x:v>
      </x:c>
      <x:c r="B43" s="62" t="n">
        <x:v>45786</x:v>
      </x:c>
      <x:c r="C43" s="58" t="str">
        <x:v>East</x:v>
      </x:c>
      <x:c r="D43" s="58" t="str">
        <x:v>Keyboard</x:v>
      </x:c>
      <x:c r="E43" s="68" t="n">
        <x:v>1</x:v>
      </x:c>
      <x:c r="F43" s="64" t="n">
        <x:v>0.1</x:v>
      </x:c>
      <x:c r="G43" s="58" t="str">
        <x:v>New</x:v>
      </x:c>
      <x:c r="H43" s="58" t="str">
        <x:v>Online</x:v>
      </x:c>
      <x:c r="I43" s="106" t="n">
        <x:f>IFERROR(VLOOKUP(D43,Lookups!$A$2:$B$7,2,FALSE),0)</x:f>
        <x:v>45</x:v>
      </x:c>
      <x:c r="J43" s="106" t="n">
        <x:f>E43*I43</x:f>
        <x:v>45</x:v>
      </x:c>
      <x:c r="K43" s="106" t="n">
        <x:f>J43*(1-F43)</x:f>
        <x:v>40.5</x:v>
      </x:c>
    </x:row>
    <x:row r="44">
      <x:c r="A44" s="58" t="n">
        <x:v>3043</x:v>
      </x:c>
      <x:c r="B44" s="62" t="n">
        <x:v>45793</x:v>
      </x:c>
      <x:c r="C44" s="58" t="str">
        <x:v>South</x:v>
      </x:c>
      <x:c r="D44" s="58" t="str">
        <x:v>Phone</x:v>
      </x:c>
      <x:c r="E44" s="68" t="n">
        <x:v>6</x:v>
      </x:c>
      <x:c r="F44" s="64" t="n">
        <x:v>0.15</x:v>
      </x:c>
      <x:c r="G44" s="58" t="str">
        <x:v>Returning</x:v>
      </x:c>
      <x:c r="H44" s="58" t="str">
        <x:v>Store</x:v>
      </x:c>
      <x:c r="I44" s="106" t="n">
        <x:f>IFERROR(VLOOKUP(D44,Lookups!$A$2:$B$7,2,FALSE),0)</x:f>
        <x:v>500</x:v>
      </x:c>
      <x:c r="J44" s="106" t="n">
        <x:f>E44*I44</x:f>
        <x:v>3000</x:v>
      </x:c>
      <x:c r="K44" s="106" t="n">
        <x:f>J44*(1-F44)</x:f>
        <x:v>2550</x:v>
      </x:c>
    </x:row>
    <x:row r="45">
      <x:c r="A45" s="58" t="n">
        <x:v>3044</x:v>
      </x:c>
      <x:c r="B45" s="62" t="n">
        <x:v>45800</x:v>
      </x:c>
      <x:c r="C45" s="58" t="str">
        <x:v>North</x:v>
      </x:c>
      <x:c r="D45" s="58" t="str">
        <x:v>Desk</x:v>
      </x:c>
      <x:c r="E45" s="68" t="n">
        <x:v>4</x:v>
      </x:c>
      <x:c r="F45" s="64" t="n">
        <x:v>0</x:v>
      </x:c>
      <x:c r="G45" s="58" t="str">
        <x:v>Business</x:v>
      </x:c>
      <x:c r="H45" s="58" t="str">
        <x:v>Online</x:v>
      </x:c>
      <x:c r="I45" s="106" t="n">
        <x:f>IFERROR(VLOOKUP(D45,Lookups!$A$2:$B$7,2,FALSE),0)</x:f>
        <x:v>180</x:v>
      </x:c>
      <x:c r="J45" s="106" t="n">
        <x:f>E45*I45</x:f>
        <x:v>720</x:v>
      </x:c>
      <x:c r="K45" s="106" t="n">
        <x:f>J45*(1-F45)</x:f>
        <x:v>720</x:v>
      </x:c>
    </x:row>
    <x:row r="46">
      <x:c r="A46" s="58" t="n">
        <x:v>3045</x:v>
      </x:c>
      <x:c r="B46" s="62" t="n">
        <x:v>45808</x:v>
      </x:c>
      <x:c r="C46" s="58" t="str">
        <x:v>North</x:v>
      </x:c>
      <x:c r="D46" s="58" t="str">
        <x:v>Tablet</x:v>
      </x:c>
      <x:c r="E46" s="68" t="n">
        <x:v>2</x:v>
      </x:c>
      <x:c r="F46" s="64" t="n">
        <x:v>0.05</x:v>
      </x:c>
      <x:c r="G46" s="58" t="str">
        <x:v>New</x:v>
      </x:c>
      <x:c r="H46" s="58" t="str">
        <x:v>Store</x:v>
      </x:c>
      <x:c r="I46" s="106" t="n">
        <x:f>IFERROR(VLOOKUP(D46,Lookups!$A$2:$B$7,2,FALSE),0)</x:f>
        <x:v>300</x:v>
      </x:c>
      <x:c r="J46" s="106" t="n">
        <x:f>E46*I46</x:f>
        <x:v>600</x:v>
      </x:c>
      <x:c r="K46" s="106" t="n">
        <x:f>J46*(1-F46)</x:f>
        <x:v>570</x:v>
      </x:c>
    </x:row>
    <x:row r="47">
      <x:c r="A47" s="58" t="n">
        <x:v>3046</x:v>
      </x:c>
      <x:c r="B47" s="62" t="n">
        <x:v>45815</x:v>
      </x:c>
      <x:c r="C47" s="58" t="str">
        <x:v>West</x:v>
      </x:c>
      <x:c r="D47" s="58" t="str">
        <x:v>Desk</x:v>
      </x:c>
      <x:c r="E47" s="68" t="n">
        <x:v>7</x:v>
      </x:c>
      <x:c r="F47" s="64" t="n">
        <x:v>0.1</x:v>
      </x:c>
      <x:c r="G47" s="58" t="str">
        <x:v>Returning</x:v>
      </x:c>
      <x:c r="H47" s="58" t="str">
        <x:v>Online</x:v>
      </x:c>
      <x:c r="I47" s="106" t="n">
        <x:f>IFERROR(VLOOKUP(D47,Lookups!$A$2:$B$7,2,FALSE),0)</x:f>
        <x:v>180</x:v>
      </x:c>
      <x:c r="J47" s="106" t="n">
        <x:f>E47*I47</x:f>
        <x:v>1260</x:v>
      </x:c>
      <x:c r="K47" s="106" t="n">
        <x:f>J47*(1-F47)</x:f>
        <x:v>1134</x:v>
      </x:c>
    </x:row>
    <x:row r="48">
      <x:c r="A48" s="58" t="n">
        <x:v>3047</x:v>
      </x:c>
      <x:c r="B48" s="62" t="n">
        <x:v>45822</x:v>
      </x:c>
      <x:c r="C48" s="58" t="str">
        <x:v>East</x:v>
      </x:c>
      <x:c r="D48" s="58" t="str">
        <x:v>Tablet</x:v>
      </x:c>
      <x:c r="E48" s="68" t="n">
        <x:v>5</x:v>
      </x:c>
      <x:c r="F48" s="64" t="n">
        <x:v>0.15</x:v>
      </x:c>
      <x:c r="G48" s="58" t="str">
        <x:v>Business</x:v>
      </x:c>
      <x:c r="H48" s="58" t="str">
        <x:v>Store</x:v>
      </x:c>
      <x:c r="I48" s="106" t="n">
        <x:f>IFERROR(VLOOKUP(D48,Lookups!$A$2:$B$7,2,FALSE),0)</x:f>
        <x:v>300</x:v>
      </x:c>
      <x:c r="J48" s="106" t="n">
        <x:f>E48*I48</x:f>
        <x:v>1500</x:v>
      </x:c>
      <x:c r="K48" s="106" t="n">
        <x:f>J48*(1-F48)</x:f>
        <x:v>1275</x:v>
      </x:c>
    </x:row>
    <x:row r="49">
      <x:c r="A49" s="58" t="n">
        <x:v>3048</x:v>
      </x:c>
      <x:c r="B49" s="62" t="n">
        <x:v>45830</x:v>
      </x:c>
      <x:c r="C49" s="58" t="str">
        <x:v>South</x:v>
      </x:c>
      <x:c r="D49" s="58" t="str">
        <x:v>Laptop</x:v>
      </x:c>
      <x:c r="E49" s="68" t="n">
        <x:v>3</x:v>
      </x:c>
      <x:c r="F49" s="64" t="n">
        <x:v>0</x:v>
      </x:c>
      <x:c r="G49" s="58" t="str">
        <x:v>New</x:v>
      </x:c>
      <x:c r="H49" s="58" t="str">
        <x:v>Online</x:v>
      </x:c>
      <x:c r="I49" s="106" t="n">
        <x:f>IFERROR(VLOOKUP(D49,Lookups!$A$2:$B$7,2,FALSE),0)</x:f>
        <x:v>900</x:v>
      </x:c>
      <x:c r="J49" s="106" t="n">
        <x:f>E49*I49</x:f>
        <x:v>2700</x:v>
      </x:c>
      <x:c r="K49" s="106" t="n">
        <x:f>J49*(1-F49)</x:f>
        <x:v>2700</x:v>
      </x:c>
    </x:row>
    <x:row r="50">
      <x:c r="A50" s="58" t="n">
        <x:v>3049</x:v>
      </x:c>
      <x:c r="B50" s="62" t="n">
        <x:v>45837</x:v>
      </x:c>
      <x:c r="C50" s="58" t="str">
        <x:v>North</x:v>
      </x:c>
      <x:c r="D50" s="58" t="str">
        <x:v>Monitor</x:v>
      </x:c>
      <x:c r="E50" s="68" t="n">
        <x:v>1</x:v>
      </x:c>
      <x:c r="F50" s="64" t="n">
        <x:v>0.05</x:v>
      </x:c>
      <x:c r="G50" s="58" t="str">
        <x:v>Returning</x:v>
      </x:c>
      <x:c r="H50" s="58" t="str">
        <x:v>Store</x:v>
      </x:c>
      <x:c r="I50" s="106" t="n">
        <x:f>IFERROR(VLOOKUP(D50,Lookups!$A$2:$B$7,2,FALSE),0)</x:f>
        <x:v>220</x:v>
      </x:c>
      <x:c r="J50" s="106" t="n">
        <x:f>E50*I50</x:f>
        <x:v>220</x:v>
      </x:c>
      <x:c r="K50" s="106" t="n">
        <x:f>J50*(1-F50)</x:f>
        <x:v>209</x:v>
      </x:c>
    </x:row>
    <x:row r="51">
      <x:c r="A51" s="58" t="n">
        <x:v>3050</x:v>
      </x:c>
      <x:c r="B51" s="62" t="n">
        <x:v>45664</x:v>
      </x:c>
      <x:c r="C51" s="58" t="str">
        <x:v>North</x:v>
      </x:c>
      <x:c r="D51" s="58" t="str">
        <x:v>Laptop</x:v>
      </x:c>
      <x:c r="E51" s="68" t="n">
        <x:v>6</x:v>
      </x:c>
      <x:c r="F51" s="64" t="n">
        <x:v>0.1</x:v>
      </x:c>
      <x:c r="G51" s="58" t="str">
        <x:v>Business</x:v>
      </x:c>
      <x:c r="H51" s="58" t="str">
        <x:v>Online</x:v>
      </x:c>
      <x:c r="I51" s="106" t="n">
        <x:f>IFERROR(VLOOKUP(D51,Lookups!$A$2:$B$7,2,FALSE),0)</x:f>
        <x:v>900</x:v>
      </x:c>
      <x:c r="J51" s="106" t="n">
        <x:f>E51*I51</x:f>
        <x:v>5400</x:v>
      </x:c>
      <x:c r="K51" s="106" t="n">
        <x:f>J51*(1-F51)</x:f>
        <x:v>4860</x:v>
      </x:c>
    </x:row>
    <x:row r="52">
      <x:c r="A52" s="58" t="n">
        <x:v>3051</x:v>
      </x:c>
      <x:c r="B52" s="62" t="n">
        <x:v>45672</x:v>
      </x:c>
      <x:c r="C52" s="58" t="str">
        <x:v>West</x:v>
      </x:c>
      <x:c r="D52" s="58" t="str">
        <x:v>Monitor</x:v>
      </x:c>
      <x:c r="E52" s="68" t="n">
        <x:v>4</x:v>
      </x:c>
      <x:c r="F52" s="64" t="n">
        <x:v>0.15</x:v>
      </x:c>
      <x:c r="G52" s="58" t="str">
        <x:v>New</x:v>
      </x:c>
      <x:c r="H52" s="58" t="str">
        <x:v>Store</x:v>
      </x:c>
      <x:c r="I52" s="106" t="n">
        <x:f>IFERROR(VLOOKUP(D52,Lookups!$A$2:$B$7,2,FALSE),0)</x:f>
        <x:v>220</x:v>
      </x:c>
      <x:c r="J52" s="106" t="n">
        <x:f>E52*I52</x:f>
        <x:v>880</x:v>
      </x:c>
      <x:c r="K52" s="106" t="n">
        <x:f>J52*(1-F52)</x:f>
        <x:v>748</x:v>
      </x:c>
    </x:row>
    <x:row r="53">
      <x:c r="A53" s="58" t="n">
        <x:v>3052</x:v>
      </x:c>
      <x:c r="B53" s="62" t="n">
        <x:v>45679</x:v>
      </x:c>
      <x:c r="C53" s="58" t="str">
        <x:v>East</x:v>
      </x:c>
      <x:c r="D53" s="58" t="str">
        <x:v>Phone</x:v>
      </x:c>
      <x:c r="E53" s="68" t="n">
        <x:v>2</x:v>
      </x:c>
      <x:c r="F53" s="64" t="n">
        <x:v>0</x:v>
      </x:c>
      <x:c r="G53" s="58" t="str">
        <x:v>Returning</x:v>
      </x:c>
      <x:c r="H53" s="58" t="str">
        <x:v>Online</x:v>
      </x:c>
      <x:c r="I53" s="106" t="n">
        <x:f>IFERROR(VLOOKUP(D53,Lookups!$A$2:$B$7,2,FALSE),0)</x:f>
        <x:v>500</x:v>
      </x:c>
      <x:c r="J53" s="106" t="n">
        <x:f>E53*I53</x:f>
        <x:v>1000</x:v>
      </x:c>
      <x:c r="K53" s="106" t="n">
        <x:f>J53*(1-F53)</x:f>
        <x:v>1000</x:v>
      </x:c>
    </x:row>
    <x:row r="54">
      <x:c r="A54" s="58" t="n">
        <x:v>3053</x:v>
      </x:c>
      <x:c r="B54" s="62" t="n">
        <x:v>45686</x:v>
      </x:c>
      <x:c r="C54" s="58" t="str">
        <x:v>South</x:v>
      </x:c>
      <x:c r="D54" s="58" t="str">
        <x:v>Keyboard</x:v>
      </x:c>
      <x:c r="E54" s="68" t="n">
        <x:v>7</x:v>
      </x:c>
      <x:c r="F54" s="64" t="n">
        <x:v>0.05</x:v>
      </x:c>
      <x:c r="G54" s="58" t="str">
        <x:v>Business</x:v>
      </x:c>
      <x:c r="H54" s="58" t="str">
        <x:v>Store</x:v>
      </x:c>
      <x:c r="I54" s="106" t="n">
        <x:f>IFERROR(VLOOKUP(D54,Lookups!$A$2:$B$7,2,FALSE),0)</x:f>
        <x:v>45</x:v>
      </x:c>
      <x:c r="J54" s="106" t="n">
        <x:f>E54*I54</x:f>
        <x:v>315</x:v>
      </x:c>
      <x:c r="K54" s="106" t="n">
        <x:f>J54*(1-F54)</x:f>
        <x:v>299.25</x:v>
      </x:c>
    </x:row>
    <x:row r="55">
      <x:c r="A55" s="58" t="n">
        <x:v>3054</x:v>
      </x:c>
      <x:c r="B55" s="62" t="n">
        <x:v>45694</x:v>
      </x:c>
      <x:c r="C55" s="58" t="str">
        <x:v>North</x:v>
      </x:c>
      <x:c r="D55" s="58" t="str">
        <x:v>Phone</x:v>
      </x:c>
      <x:c r="E55" s="68" t="n">
        <x:v>5</x:v>
      </x:c>
      <x:c r="F55" s="64" t="n">
        <x:v>0.1</x:v>
      </x:c>
      <x:c r="G55" s="58" t="str">
        <x:v>New</x:v>
      </x:c>
      <x:c r="H55" s="58" t="str">
        <x:v>Online</x:v>
      </x:c>
      <x:c r="I55" s="106" t="n">
        <x:f>IFERROR(VLOOKUP(D55,Lookups!$A$2:$B$7,2,FALSE),0)</x:f>
        <x:v>500</x:v>
      </x:c>
      <x:c r="J55" s="106" t="n">
        <x:f>E55*I55</x:f>
        <x:v>2500</x:v>
      </x:c>
      <x:c r="K55" s="106" t="n">
        <x:f>J55*(1-F55)</x:f>
        <x:v>2250</x:v>
      </x:c>
    </x:row>
    <x:row r="56">
      <x:c r="A56" s="58" t="n">
        <x:v>3055</x:v>
      </x:c>
      <x:c r="B56" s="62" t="n">
        <x:v>45701</x:v>
      </x:c>
      <x:c r="C56" s="58" t="str">
        <x:v>North</x:v>
      </x:c>
      <x:c r="D56" s="58" t="str">
        <x:v>Keyboard</x:v>
      </x:c>
      <x:c r="E56" s="68" t="n">
        <x:v>3</x:v>
      </x:c>
      <x:c r="F56" s="64" t="n">
        <x:v>0.15</x:v>
      </x:c>
      <x:c r="G56" s="58" t="str">
        <x:v>Returning</x:v>
      </x:c>
      <x:c r="H56" s="58" t="str">
        <x:v>Store</x:v>
      </x:c>
      <x:c r="I56" s="106" t="n">
        <x:f>IFERROR(VLOOKUP(D56,Lookups!$A$2:$B$7,2,FALSE),0)</x:f>
        <x:v>45</x:v>
      </x:c>
      <x:c r="J56" s="106" t="n">
        <x:f>E56*I56</x:f>
        <x:v>135</x:v>
      </x:c>
      <x:c r="K56" s="106" t="n">
        <x:f>J56*(1-F56)</x:f>
        <x:v>114.75</x:v>
      </x:c>
    </x:row>
    <x:row r="57">
      <x:c r="A57" s="58" t="n">
        <x:v>3056</x:v>
      </x:c>
      <x:c r="B57" s="62" t="n">
        <x:v>45708</x:v>
      </x:c>
      <x:c r="C57" s="58" t="str">
        <x:v>West</x:v>
      </x:c>
      <x:c r="D57" s="58" t="str">
        <x:v>Tablet</x:v>
      </x:c>
      <x:c r="E57" s="68" t="n">
        <x:v>1</x:v>
      </x:c>
      <x:c r="F57" s="64" t="n">
        <x:v>0</x:v>
      </x:c>
      <x:c r="G57" s="58" t="str">
        <x:v>Business</x:v>
      </x:c>
      <x:c r="H57" s="58" t="str">
        <x:v>Online</x:v>
      </x:c>
      <x:c r="I57" s="106" t="n">
        <x:f>IFERROR(VLOOKUP(D57,Lookups!$A$2:$B$7,2,FALSE),0)</x:f>
        <x:v>300</x:v>
      </x:c>
      <x:c r="J57" s="106" t="n">
        <x:f>E57*I57</x:f>
        <x:v>300</x:v>
      </x:c>
      <x:c r="K57" s="106" t="n">
        <x:f>J57*(1-F57)</x:f>
        <x:v>300</x:v>
      </x:c>
    </x:row>
    <x:row r="58">
      <x:c r="A58" s="58" t="n">
        <x:v>3057</x:v>
      </x:c>
      <x:c r="B58" s="62" t="n">
        <x:v>45716</x:v>
      </x:c>
      <x:c r="C58" s="58" t="str">
        <x:v>East</x:v>
      </x:c>
      <x:c r="D58" s="58" t="str">
        <x:v>Desk</x:v>
      </x:c>
      <x:c r="E58" s="68" t="n">
        <x:v>6</x:v>
      </x:c>
      <x:c r="F58" s="64" t="n">
        <x:v>0.05</x:v>
      </x:c>
      <x:c r="G58" s="58" t="str">
        <x:v>New</x:v>
      </x:c>
      <x:c r="H58" s="58" t="str">
        <x:v>Store</x:v>
      </x:c>
      <x:c r="I58" s="106" t="n">
        <x:f>IFERROR(VLOOKUP(D58,Lookups!$A$2:$B$7,2,FALSE),0)</x:f>
        <x:v>180</x:v>
      </x:c>
      <x:c r="J58" s="106" t="n">
        <x:f>E58*I58</x:f>
        <x:v>1080</x:v>
      </x:c>
      <x:c r="K58" s="106" t="n">
        <x:f>J58*(1-F58)</x:f>
        <x:v>1026</x:v>
      </x:c>
    </x:row>
    <x:row r="59">
      <x:c r="A59" s="58" t="n">
        <x:v>3058</x:v>
      </x:c>
      <x:c r="B59" s="62" t="n">
        <x:v>45723</x:v>
      </x:c>
      <x:c r="C59" s="58" t="str">
        <x:v>South</x:v>
      </x:c>
      <x:c r="D59" s="58" t="str">
        <x:v>Tablet</x:v>
      </x:c>
      <x:c r="E59" s="68" t="n">
        <x:v>4</x:v>
      </x:c>
      <x:c r="F59" s="64" t="n">
        <x:v>0.1</x:v>
      </x:c>
      <x:c r="G59" s="58" t="str">
        <x:v>Returning</x:v>
      </x:c>
      <x:c r="H59" s="58" t="str">
        <x:v>Online</x:v>
      </x:c>
      <x:c r="I59" s="106" t="n">
        <x:f>IFERROR(VLOOKUP(D59,Lookups!$A$2:$B$7,2,FALSE),0)</x:f>
        <x:v>300</x:v>
      </x:c>
      <x:c r="J59" s="106" t="n">
        <x:f>E59*I59</x:f>
        <x:v>1200</x:v>
      </x:c>
      <x:c r="K59" s="106" t="n">
        <x:f>J59*(1-F59)</x:f>
        <x:v>1080</x:v>
      </x:c>
    </x:row>
    <x:row r="60">
      <x:c r="A60" s="58" t="n">
        <x:v>3059</x:v>
      </x:c>
      <x:c r="B60" s="62" t="n">
        <x:v>45730</x:v>
      </x:c>
      <x:c r="C60" s="58" t="str">
        <x:v>North</x:v>
      </x:c>
      <x:c r="D60" s="58" t="str">
        <x:v>Desk</x:v>
      </x:c>
      <x:c r="E60" s="68" t="n">
        <x:v>2</x:v>
      </x:c>
      <x:c r="F60" s="64" t="n">
        <x:v>0.15</x:v>
      </x:c>
      <x:c r="G60" s="58" t="str">
        <x:v>Business</x:v>
      </x:c>
      <x:c r="H60" s="58" t="str">
        <x:v>Store</x:v>
      </x:c>
      <x:c r="I60" s="106" t="n">
        <x:f>IFERROR(VLOOKUP(D60,Lookups!$A$2:$B$7,2,FALSE),0)</x:f>
        <x:v>180</x:v>
      </x:c>
      <x:c r="J60" s="106" t="n">
        <x:f>E60*I60</x:f>
        <x:v>360</x:v>
      </x:c>
      <x:c r="K60" s="106" t="n">
        <x:f>J60*(1-F60)</x:f>
        <x:v>306</x:v>
      </x:c>
    </x:row>
    <x:row r="61">
      <x:c r="A61" s="58" t="n">
        <x:v>3060</x:v>
      </x:c>
      <x:c r="B61" s="62" t="n">
        <x:v>45738</x:v>
      </x:c>
      <x:c r="C61" s="58" t="str">
        <x:v>North</x:v>
      </x:c>
      <x:c r="D61" s="58" t="str">
        <x:v>Monitor</x:v>
      </x:c>
      <x:c r="E61" s="68" t="n">
        <x:v>7</x:v>
      </x:c>
      <x:c r="F61" s="64" t="n">
        <x:v>0</x:v>
      </x:c>
      <x:c r="G61" s="58" t="str">
        <x:v>New</x:v>
      </x:c>
      <x:c r="H61" s="58" t="str">
        <x:v>Online</x:v>
      </x:c>
      <x:c r="I61" s="106" t="n">
        <x:f>IFERROR(VLOOKUP(D61,Lookups!$A$2:$B$7,2,FALSE),0)</x:f>
        <x:v>220</x:v>
      </x:c>
      <x:c r="J61" s="106" t="n">
        <x:f>E61*I61</x:f>
        <x:v>1540</x:v>
      </x:c>
      <x:c r="K61" s="106" t="n">
        <x:f>J61*(1-F61)</x:f>
        <x:v>1540</x:v>
      </x:c>
    </x:row>
  </x:sheetData>
  <x:conditionalFormatting sqref="K2:K6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{3238B2BC-AE78-EFC2-0DBE-0C65276BB45F}</x14:id>
        </x:ext>
      </x:extLst>
    </x:cfRule>
  </x:conditionalFormatting>
  <x:conditionalFormatting sqref="F2:F61">
    <x:cfRule type="cellIs" dxfId="0" priority="2" operator="greaterThan">
      <x:formula>0.1</x:formula>
    </x:cfRule>
  </x:conditionalFormatting>
  <x:dataValidations count="4">
    <x:dataValidation type="list" sqref="C2:C61">
      <x:formula1>Lookups!$E$2:$E$5</x:formula1>
    </x:dataValidation>
    <x:dataValidation type="list" sqref="D2:D61">
      <x:formula1>Lookups!$A$2:$A$7</x:formula1>
    </x:dataValidation>
    <x:dataValidation type="list" sqref="G2:G61">
      <x:formula1>Lookups!$J$2:$J$4</x:formula1>
    </x:dataValidation>
    <x:dataValidation type="list" sqref="H2:H61">
      <x:formula1>Lookups!$H$2:$H$4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7d834cdf734dd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238B2BC-AE78-EFC2-0DBE-0C65276BB45F}">
            <x14:dataBar gradient="1">
              <x14:cfvo type="min"/>
              <x14:cfvo type="max"/>
              <x14:fillColor rgb="FF0F766E"/>
            </x14:dataBar>
          </x14:cfRule>
          <xm:sqref>K2:K61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5" max="5" width="16" hidden="0" customWidth="1"/>
    <x:col min="6" max="6" width="18" hidden="0" customWidth="1"/>
    <x:col min="8" max="8" width="18" hidden="0" customWidth="1"/>
    <x:col min="10" max="10" width="20" hidden="0" customWidth="1"/>
  </x:cols>
  <x:sheetData>
    <x:row r="1">
      <x:c r="A1" s="108" t="str">
        <x:v>Product</x:v>
      </x:c>
      <x:c r="B1" s="108" t="str">
        <x:v>Unit Price</x:v>
      </x:c>
      <x:c r="C1" s="108" t="str">
        <x:v>Category</x:v>
      </x:c>
      <x:c r="D1" s="58"/>
      <x:c r="E1" s="108" t="str">
        <x:v>Region</x:v>
      </x:c>
      <x:c r="F1" s="108" t="str">
        <x:v>Revenue Target</x:v>
      </x:c>
      <x:c r="G1" s="58"/>
      <x:c r="H1" s="108" t="str">
        <x:v>Channel</x:v>
      </x:c>
      <x:c r="I1" s="58"/>
      <x:c r="J1" s="108" t="str">
        <x:v>Customer Type</x:v>
      </x:c>
    </x:row>
    <x:row r="2">
      <x:c r="A2" s="58" t="str">
        <x:v>Laptop</x:v>
      </x:c>
      <x:c r="B2" s="109" t="n">
        <x:v>900</x:v>
      </x:c>
      <x:c r="C2" s="58" t="str">
        <x:v>Computers</x:v>
      </x:c>
      <x:c r="D2" s="58"/>
      <x:c r="E2" s="58" t="str">
        <x:v>North</x:v>
      </x:c>
      <x:c r="F2" s="110" t="n">
        <x:v>9000</x:v>
      </x:c>
      <x:c r="G2" s="58"/>
      <x:c r="H2" s="58" t="str">
        <x:v>Online</x:v>
      </x:c>
      <x:c r="I2" s="58"/>
      <x:c r="J2" s="58" t="str">
        <x:v>New</x:v>
      </x:c>
    </x:row>
    <x:row r="3">
      <x:c r="A3" s="58" t="str">
        <x:v>Phone</x:v>
      </x:c>
      <x:c r="B3" s="109" t="n">
        <x:v>500</x:v>
      </x:c>
      <x:c r="C3" s="58" t="str">
        <x:v>Electronics</x:v>
      </x:c>
      <x:c r="D3" s="58"/>
      <x:c r="E3" s="58" t="str">
        <x:v>South</x:v>
      </x:c>
      <x:c r="F3" s="110" t="n">
        <x:v>8500</x:v>
      </x:c>
      <x:c r="G3" s="58"/>
      <x:c r="H3" s="58" t="str">
        <x:v>Store</x:v>
      </x:c>
      <x:c r="I3" s="58"/>
      <x:c r="J3" s="58" t="str">
        <x:v>Returning</x:v>
      </x:c>
    </x:row>
    <x:row r="4">
      <x:c r="A4" s="58" t="str">
        <x:v>Tablet</x:v>
      </x:c>
      <x:c r="B4" s="109" t="n">
        <x:v>300</x:v>
      </x:c>
      <x:c r="C4" s="58" t="str">
        <x:v>Electronics</x:v>
      </x:c>
      <x:c r="D4" s="58"/>
      <x:c r="E4" s="58" t="str">
        <x:v>East</x:v>
      </x:c>
      <x:c r="F4" s="110" t="n">
        <x:v>8200</x:v>
      </x:c>
      <x:c r="G4" s="58"/>
      <x:c r="H4" s="58" t="str">
        <x:v>Partner</x:v>
      </x:c>
      <x:c r="I4" s="58"/>
      <x:c r="J4" s="58" t="str">
        <x:v>Business</x:v>
      </x:c>
    </x:row>
    <x:row r="5">
      <x:c r="A5" s="58" t="str">
        <x:v>Monitor</x:v>
      </x:c>
      <x:c r="B5" s="109" t="n">
        <x:v>220</x:v>
      </x:c>
      <x:c r="C5" s="58" t="str">
        <x:v>Accessories</x:v>
      </x:c>
      <x:c r="D5" s="58"/>
      <x:c r="E5" s="58" t="str">
        <x:v>West</x:v>
      </x:c>
      <x:c r="F5" s="110" t="n">
        <x:v>7800</x:v>
      </x:c>
      <x:c r="G5" s="58"/>
      <x:c r="H5" s="58"/>
      <x:c r="I5" s="58"/>
      <x:c r="J5" s="58"/>
    </x:row>
    <x:row r="6">
      <x:c r="A6" s="58" t="str">
        <x:v>Keyboard</x:v>
      </x:c>
      <x:c r="B6" s="109" t="n">
        <x:v>45</x:v>
      </x:c>
      <x:c r="C6" s="58" t="str">
        <x:v>Accessories</x:v>
      </x:c>
      <x:c r="D6" s="58"/>
      <x:c r="E6" s="58"/>
      <x:c r="F6" s="58"/>
      <x:c r="G6" s="58"/>
      <x:c r="H6" s="58"/>
      <x:c r="I6" s="58"/>
      <x:c r="J6" s="58"/>
    </x:row>
    <x:row r="7">
      <x:c r="A7" s="58" t="str">
        <x:v>Desk</x:v>
      </x:c>
      <x:c r="B7" s="109" t="n">
        <x:v>180</x:v>
      </x:c>
      <x:c r="C7" s="58" t="str">
        <x:v>Furniture</x:v>
      </x:c>
      <x:c r="D7" s="58"/>
      <x:c r="E7" s="58"/>
      <x:c r="F7" s="58"/>
      <x:c r="G7" s="58"/>
      <x:c r="H7" s="58"/>
      <x:c r="I7" s="58"/>
      <x:c r="J7" s="58"/>
    </x:row>
  </x:sheetData>
  <x:pageMargins left="0.7" right="0.7" top="0.75" bottom="0.75" header="0.3" footer="0.3"/>
  <x:tableParts count="2">
    <x:tablePart xmlns:r="http://schemas.openxmlformats.org/officeDocument/2006/relationships" r:id="Rf09ebd3e3e1d48f1"/>
    <x:tablePart xmlns:r="http://schemas.openxmlformats.org/officeDocument/2006/relationships" r:id="Rb1f2a680f221432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5" hidden="0" customWidth="1"/>
    <x:col min="4" max="4" width="16" hidden="0" customWidth="1"/>
    <x:col min="5" max="5" width="3" hidden="0" customWidth="1"/>
    <x:col min="6" max="6" width="25" hidden="0" customWidth="1"/>
    <x:col min="7" max="7" width="21" hidden="0" customWidth="1"/>
    <x:col min="8" max="8" width="29" hidden="0" customWidth="1"/>
    <x:col min="9" max="9" width="3" hidden="0" customWidth="1"/>
  </x:cols>
  <x:sheetData>
    <x:row r="1" ht="36" customHeight="1">
      <x:c r="A1" s="72" t="str">
        <x:v>SALES ANALYSIS DASHBOARD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</x:row>
    <x:row r="2" ht="26" customHeight="1">
      <x:c r="A2" s="13" t="str">
        <x:v>KPI cards and summaries update from the Sales Data sheet when opened in Excel.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1" t="str">
        <x:v>Metric</x:v>
      </x:c>
      <x:c r="B4" s="21" t="str">
        <x:v>Value</x:v>
      </x:c>
    </x:row>
    <x:row r="5" ht="25" customHeight="1">
      <x:c r="A5" s="90" t="str">
        <x:v>Total Net Revenue</x:v>
      </x:c>
      <x:c r="B5" s="92" t="n">
        <x:f>SUM('Sales Data'!$K$2:$K$61)</x:f>
        <x:v>78162</x:v>
      </x:c>
    </x:row>
    <x:row r="6" ht="25" customHeight="1">
      <x:c r="A6" s="90" t="str">
        <x:v>Gross Revenue</x:v>
      </x:c>
      <x:c r="B6" s="92" t="n">
        <x:f>SUM('Sales Data'!$J$2:$J$61)</x:f>
        <x:v>85125</x:v>
      </x:c>
    </x:row>
    <x:row r="7" ht="25" customHeight="1">
      <x:c r="A7" s="90" t="str">
        <x:v>Units Sold</x:v>
      </x:c>
      <x:c r="B7" s="93" t="n">
        <x:f>SUM('Sales Data'!$E$2:$E$61)</x:f>
        <x:v>243</x:v>
      </x:c>
    </x:row>
    <x:row r="8" ht="25" customHeight="1">
      <x:c r="A8" s="90" t="str">
        <x:v>Order Count</x:v>
      </x:c>
      <x:c r="B8" s="93" t="n">
        <x:f>COUNTA('Sales Data'!$A$2:$A$61)</x:f>
        <x:v>60</x:v>
      </x:c>
    </x:row>
    <x:row r="11">
      <x:c r="A11" s="33" t="str">
        <x:v>Region</x:v>
      </x:c>
      <x:c r="B11" s="33" t="str">
        <x:v>Net Revenue</x:v>
      </x:c>
      <x:c r="C11" s="33" t="str">
        <x:v>Target</x:v>
      </x:c>
      <x:c r="D11" s="33" t="str">
        <x:v>Gap</x:v>
      </x:c>
      <x:c r="F11" s="33" t="str">
        <x:v>Product</x:v>
      </x:c>
      <x:c r="G11" s="33" t="str">
        <x:v>Net Revenue</x:v>
      </x:c>
      <x:c r="H11" s="33" t="str">
        <x:v>Units</x:v>
      </x:c>
    </x:row>
    <x:row r="12">
      <x:c r="A12" t="str">
        <x:v>North</x:v>
      </x:c>
      <x:c r="B12" s="46" t="n">
        <x:f>SUMIF('Sales Data'!$C$2:$C$61,A12,'Sales Data'!$K$2:$K$61)</x:f>
        <x:v>34823</x:v>
      </x:c>
      <x:c r="C12" s="46" t="n">
        <x:f>VLOOKUP(A12,Lookups!$E$2:$F$5,2,FALSE)</x:f>
        <x:v>9000</x:v>
      </x:c>
      <x:c r="D12" s="46" t="n">
        <x:f>B12-C12</x:f>
        <x:v>25823</x:v>
      </x:c>
      <x:c r="F12" t="str">
        <x:v>Laptop</x:v>
      </x:c>
      <x:c r="G12" s="46" t="n">
        <x:f>SUMIF('Sales Data'!$D$2:$D$61,F12,'Sales Data'!$K$2:$K$61)</x:f>
        <x:v>32580</x:v>
      </x:c>
      <x:c r="H12" s="76" t="n">
        <x:f>SUMIF('Sales Data'!$D$2:$D$61,F12,'Sales Data'!$E$2:$E$61)</x:f>
        <x:v>40</x:v>
      </x:c>
    </x:row>
    <x:row r="13">
      <x:c r="A13" t="str">
        <x:v>South</x:v>
      </x:c>
      <x:c r="B13" s="46" t="n">
        <x:f>SUMIF('Sales Data'!$C$2:$C$61,A13,'Sales Data'!$K$2:$K$61)</x:f>
        <x:v>14422.75</x:v>
      </x:c>
      <x:c r="C13" s="46" t="n">
        <x:f>VLOOKUP(A13,Lookups!$E$2:$F$5,2,FALSE)</x:f>
        <x:v>8500</x:v>
      </x:c>
      <x:c r="D13" s="46" t="n">
        <x:f>B13-C13</x:f>
        <x:v>5922.75</x:v>
      </x:c>
      <x:c r="F13" t="str">
        <x:v>Phone</x:v>
      </x:c>
      <x:c r="G13" s="46" t="n">
        <x:f>SUMIF('Sales Data'!$D$2:$D$61,F13,'Sales Data'!$K$2:$K$61)</x:f>
        <x:v>17450</x:v>
      </x:c>
      <x:c r="H13" s="76" t="n">
        <x:f>SUMIF('Sales Data'!$D$2:$D$61,F13,'Sales Data'!$E$2:$E$61)</x:f>
        <x:v>38</x:v>
      </x:c>
    </x:row>
    <x:row r="14">
      <x:c r="A14" t="str">
        <x:v>East</x:v>
      </x:c>
      <x:c r="B14" s="46" t="n">
        <x:f>SUMIF('Sales Data'!$C$2:$C$61,A14,'Sales Data'!$K$2:$K$61)</x:f>
        <x:v>15722.75</x:v>
      </x:c>
      <x:c r="C14" s="46" t="n">
        <x:f>VLOOKUP(A14,Lookups!$E$2:$F$5,2,FALSE)</x:f>
        <x:v>8200</x:v>
      </x:c>
      <x:c r="D14" s="46" t="n">
        <x:f>B14-C14</x:f>
        <x:v>7522.75</x:v>
      </x:c>
      <x:c r="F14" t="str">
        <x:v>Tablet</x:v>
      </x:c>
      <x:c r="G14" s="46" t="n">
        <x:f>SUMIF('Sales Data'!$D$2:$D$61,F14,'Sales Data'!$K$2:$K$61)</x:f>
        <x:v>9780</x:v>
      </x:c>
      <x:c r="H14" s="76" t="n">
        <x:f>SUMIF('Sales Data'!$D$2:$D$61,F14,'Sales Data'!$E$2:$E$61)</x:f>
        <x:v>35</x:v>
      </x:c>
    </x:row>
    <x:row r="15">
      <x:c r="A15" t="str">
        <x:v>West</x:v>
      </x:c>
      <x:c r="B15" s="46" t="n">
        <x:f>SUMIF('Sales Data'!$C$2:$C$61,A15,'Sales Data'!$K$2:$K$61)</x:f>
        <x:v>13193.5</x:v>
      </x:c>
      <x:c r="C15" s="46" t="n">
        <x:f>VLOOKUP(A15,Lookups!$E$2:$F$5,2,FALSE)</x:f>
        <x:v>7800</x:v>
      </x:c>
      <x:c r="D15" s="46" t="n">
        <x:f>B15-C15</x:f>
        <x:v>5393.5</x:v>
      </x:c>
      <x:c r="F15" t="str">
        <x:v>Monitor</x:v>
      </x:c>
      <x:c r="G15" s="46" t="n">
        <x:f>SUMIF('Sales Data'!$D$2:$D$61,F15,'Sales Data'!$K$2:$K$61)</x:f>
        <x:v>9163</x:v>
      </x:c>
      <x:c r="H15" s="76" t="n">
        <x:f>SUMIF('Sales Data'!$D$2:$D$61,F15,'Sales Data'!$E$2:$E$61)</x:f>
        <x:v>44</x:v>
      </x:c>
    </x:row>
    <x:row r="16">
      <x:c r="F16" t="str">
        <x:v>Keyboard</x:v>
      </x:c>
      <x:c r="G16" s="46" t="n">
        <x:f>SUMIF('Sales Data'!$D$2:$D$61,F16,'Sales Data'!$K$2:$K$61)</x:f>
        <x:v>1728</x:v>
      </x:c>
      <x:c r="H16" s="76" t="n">
        <x:f>SUMIF('Sales Data'!$D$2:$D$61,F16,'Sales Data'!$E$2:$E$61)</x:f>
        <x:v>41</x:v>
      </x:c>
    </x:row>
    <x:row r="17">
      <x:c r="F17" t="str">
        <x:v>Desk</x:v>
      </x:c>
      <x:c r="G17" s="46" t="n">
        <x:f>SUMIF('Sales Data'!$D$2:$D$61,F17,'Sales Data'!$K$2:$K$61)</x:f>
        <x:v>7461</x:v>
      </x:c>
      <x:c r="H17" s="76" t="n">
        <x:f>SUMIF('Sales Data'!$D$2:$D$61,F17,'Sales Data'!$E$2:$E$61)</x:f>
        <x:v>45</x:v>
      </x:c>
    </x:row>
    <x:row r="19">
      <x:c r="A19" s="33" t="str">
        <x:v>Month</x:v>
      </x:c>
      <x:c r="B19" s="33" t="str">
        <x:v>Net Revenue</x:v>
      </x:c>
    </x:row>
    <x:row r="20">
      <x:c r="A20" s="96" t="n">
        <x:v>45658</x:v>
      </x:c>
      <x:c r="B20" s="46" t="n">
        <x:f>SUMIFS('Sales Data'!$K$2:$K$61,'Sales Data'!$B$2:$B$61,"&gt;="&amp;A20,'Sales Data'!$B$2:$B$61,"&lt;"&amp;EDATE(A20,1))</x:f>
        <x:v>21849.25</x:v>
      </x:c>
      <x:c r="F20" s="22" t="str">
        <x:v>Quick Insight</x:v>
      </x:c>
      <x:c r="G20" s="22" t="str">
        <x:v>Value</x:v>
      </x:c>
      <x:c r="H20" s="22" t="str">
        <x:v>Meaning</x:v>
      </x:c>
    </x:row>
    <x:row r="21" ht="30" customHeight="1">
      <x:c r="A21" s="96" t="n">
        <x:v>45689</x:v>
      </x:c>
      <x:c r="B21" s="46" t="n">
        <x:f>SUMIFS('Sales Data'!$K$2:$K$61,'Sales Data'!$B$2:$B$61,"&gt;="&amp;A21,'Sales Data'!$B$2:$B$61,"&lt;"&amp;EDATE(A21,1))</x:f>
        <x:v>11325.75</x:v>
      </x:c>
      <x:c r="F21" s="30" t="str">
        <x:v>Top product</x:v>
      </x:c>
      <x:c r="G21" s="27" t="str">
        <x:f>INDEX($F$12:$F$17,MATCH(MAX($G$12:$G$17),$G$12:$G$17,0))</x:f>
        <x:v>Laptop</x:v>
      </x:c>
      <x:c r="H21" s="27" t="str">
        <x:v>Highest net revenue</x:v>
      </x:c>
    </x:row>
    <x:row r="22" ht="30" customHeight="1">
      <x:c r="A22" s="96" t="n">
        <x:v>45717</x:v>
      </x:c>
      <x:c r="B22" s="46" t="n">
        <x:f>SUMIFS('Sales Data'!$K$2:$K$61,'Sales Data'!$B$2:$B$61,"&gt;="&amp;A22,'Sales Data'!$B$2:$B$61,"&lt;"&amp;EDATE(A22,1))</x:f>
        <x:v>9459</x:v>
      </x:c>
      <x:c r="F22" s="30" t="str">
        <x:v>Highest region revenue</x:v>
      </x:c>
      <x:c r="G22" s="27" t="str">
        <x:f>INDEX($A$12:$A$15,MATCH(MAX($B$12:$B$15),$B$12:$B$15,0))</x:f>
        <x:v>North</x:v>
      </x:c>
      <x:c r="H22" s="27" t="str">
        <x:v>Highest regional net revenue</x:v>
      </x:c>
    </x:row>
    <x:row r="23" ht="30" customHeight="1">
      <x:c r="A23" s="96" t="n">
        <x:v>45748</x:v>
      </x:c>
      <x:c r="B23" s="46" t="n">
        <x:f>SUMIFS('Sales Data'!$K$2:$K$61,'Sales Data'!$B$2:$B$61,"&gt;="&amp;A23,'Sales Data'!$B$2:$B$61,"&lt;"&amp;EDATE(A23,1))</x:f>
        <x:v>16929</x:v>
      </x:c>
      <x:c r="F23" s="30" t="str">
        <x:v>Average net revenue/order</x:v>
      </x:c>
      <x:c r="G23" s="99" t="n">
        <x:f>IFERROR($B$5/$B$8,0)</x:f>
        <x:v>1302.7</x:v>
      </x:c>
      <x:c r="H23" s="27" t="str">
        <x:v>Net revenue divided by order records</x:v>
      </x:c>
    </x:row>
    <x:row r="24">
      <x:c r="A24" s="96" t="n">
        <x:v>45778</x:v>
      </x:c>
      <x:c r="B24" s="46" t="n">
        <x:f>SUMIFS('Sales Data'!$K$2:$K$61,'Sales Data'!$B$2:$B$61,"&gt;="&amp;A24,'Sales Data'!$B$2:$B$61,"&lt;"&amp;EDATE(A24,1))</x:f>
        <x:v>9204</x:v>
      </x:c>
    </x:row>
    <x:row r="25">
      <x:c r="A25" s="96" t="n">
        <x:v>45809</x:v>
      </x:c>
      <x:c r="B25" s="46" t="n">
        <x:f>SUMIFS('Sales Data'!$K$2:$K$61,'Sales Data'!$B$2:$B$61,"&gt;="&amp;A25,'Sales Data'!$B$2:$B$61,"&lt;"&amp;EDATE(A25,1))</x:f>
        <x:v>9395</x:v>
      </x:c>
    </x:row>
  </x:sheetData>
  <x:mergeCells>
    <x:mergeCell ref="A1:L1"/>
    <x:mergeCell ref="A2:L2"/>
  </x:mergeCells>
  <x:conditionalFormatting sqref="D12:D15">
    <x:cfRule type="cellIs" dxfId="1" priority="1" operator="lessThan">
      <x:formula>0</x:formula>
    </x:cfRule>
    <x:cfRule type="cellIs" dxfId="2" priority="2" operator="greaterThanOrEqual">
      <x:formula>0</x:formula>
    </x:cfRule>
  </x:conditionalFormatting>
  <x:conditionalFormatting sqref="G12:G17">
    <x:cfRule type="dataBar" priority="3">
      <x:dataBar>
        <x:cfvo type="min"/>
        <x:cfvo type="max"/>
        <x:color rgb="FF1F4E78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9dafa1f7a9a0451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69BE573-5479-287D-BE93-74B15E11EBFA}">
            <x14:dataBar gradient="1">
              <x14:cfvo type="min"/>
              <x14:cfvo type="max"/>
              <x14:fillColor rgb="FF1F4E78"/>
            </x14:dataBar>
          </x14:cfRule>
          <xm:sqref>G12:G17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42" hidden="0" customWidth="1"/>
    <x:col min="4" max="4" width="45" hidden="0" customWidth="1"/>
    <x:col min="5" max="5" width="58" hidden="0" customWidth="1"/>
  </x:cols>
  <x:sheetData>
    <x:row r="1" ht="35" customHeight="1">
      <x:c r="A1" s="102" t="str">
        <x:v>#</x:v>
      </x:c>
      <x:c r="B1" s="102" t="str">
        <x:v>Skill</x:v>
      </x:c>
      <x:c r="C1" s="102" t="str">
        <x:v>Task</x:v>
      </x:c>
      <x:c r="D1" s="102" t="str">
        <x:v>Try it here / answer formula example</x:v>
      </x:c>
      <x:c r="E1" s="102" t="str">
        <x:v>Check / expected formula</x:v>
      </x:c>
    </x:row>
    <x:row r="2" ht="38" customHeight="1">
      <x:c r="A2" s="104" t="n">
        <x:v>1</x:v>
      </x:c>
      <x:c r="B2" s="27" t="str">
        <x:v>Basic calculation</x:v>
      </x:c>
      <x:c r="C2" s="27" t="str">
        <x:v>Calculate gross revenue for each row.</x:v>
      </x:c>
      <x:c r="D2" s="27" t="str">
        <x:v>Enter formula on Sales Data in J2, then fill down.</x:v>
      </x:c>
      <x:c r="E2" s="27" t="str">
        <x:v>Formula example: =E2*I2</x:v>
      </x:c>
    </x:row>
    <x:row r="3" ht="38" customHeight="1">
      <x:c r="A3" s="104" t="n">
        <x:v>2</x:v>
      </x:c>
      <x:c r="B3" s="27" t="str">
        <x:v>Discounts</x:v>
      </x:c>
      <x:c r="C3" s="27" t="str">
        <x:v>Calculate net revenue after discount.</x:v>
      </x:c>
      <x:c r="D3" s="27" t="str">
        <x:v>Use the discount percentage in column F.</x:v>
      </x:c>
      <x:c r="E3" s="27" t="str">
        <x:v>Formula example: =J2*(1-F2)</x:v>
      </x:c>
    </x:row>
    <x:row r="4" ht="38" customHeight="1">
      <x:c r="A4" s="104" t="n">
        <x:v>3</x:v>
      </x:c>
      <x:c r="B4" s="27" t="str">
        <x:v>SUM</x:v>
      </x:c>
      <x:c r="C4" s="27" t="str">
        <x:v>Calculate total net revenue.</x:v>
      </x:c>
      <x:c r="D4" s="27" t="str">
        <x:v>Try your formula in cell E2.</x:v>
      </x:c>
      <x:c r="E4" s="27" t="str">
        <x:v>Formula example: =SUM('Sales Data'!K2:K61)</x:v>
      </x:c>
    </x:row>
    <x:row r="5" ht="38" customHeight="1">
      <x:c r="A5" s="104" t="n">
        <x:v>4</x:v>
      </x:c>
      <x:c r="B5" s="27" t="str">
        <x:v>COUNTIF</x:v>
      </x:c>
      <x:c r="C5" s="27" t="str">
        <x:v>Count Online channel orders.</x:v>
      </x:c>
      <x:c r="D5" s="27" t="str">
        <x:v>Use COUNTIF against the Channel column.</x:v>
      </x:c>
      <x:c r="E5" s="27" t="str">
        <x:v>Formula example: =COUNTIF('Sales Data'!H2:H61,"Online")</x:v>
      </x:c>
    </x:row>
    <x:row r="6" ht="38" customHeight="1">
      <x:c r="A6" s="104" t="n">
        <x:v>5</x:v>
      </x:c>
      <x:c r="B6" s="27" t="str">
        <x:v>SUMIF</x:v>
      </x:c>
      <x:c r="C6" s="27" t="str">
        <x:v>Calculate revenue for laptops.</x:v>
      </x:c>
      <x:c r="D6" s="27" t="str">
        <x:v>Use Product as the criteria range.</x:v>
      </x:c>
      <x:c r="E6" s="27" t="str">
        <x:v>Formula example: =SUMIF('Sales Data'!D2:D61,"Laptop",'Sales Data'!K2:K61)</x:v>
      </x:c>
    </x:row>
    <x:row r="7" ht="38" customHeight="1">
      <x:c r="A7" s="104" t="n">
        <x:v>6</x:v>
      </x:c>
      <x:c r="B7" s="27" t="str">
        <x:v>SUMIFS</x:v>
      </x:c>
      <x:c r="C7" s="27" t="str">
        <x:v>Calculate net revenue for North region Online orders.</x:v>
      </x:c>
      <x:c r="D7" s="27" t="str">
        <x:v>Use Region and Channel criteria.</x:v>
      </x:c>
      <x:c r="E7" s="27" t="str">
        <x:v>Formula example: =SUMIFS('Sales Data'!K2:K61,'Sales Data'!C2:C61,"North",'Sales Data'!H2:H61,"Online")</x:v>
      </x:c>
    </x:row>
    <x:row r="8" ht="38" customHeight="1">
      <x:c r="A8" s="104" t="n">
        <x:v>7</x:v>
      </x:c>
      <x:c r="B8" s="27" t="str">
        <x:v>IF</x:v>
      </x:c>
      <x:c r="C8" s="27" t="str">
        <x:v>Label each order as High if net revenue &gt;= $1,000, otherwise Standard.</x:v>
      </x:c>
      <x:c r="D8" s="27" t="str">
        <x:v>Create a new column in Sales Data.</x:v>
      </x:c>
      <x:c r="E8" s="27" t="str">
        <x:v>Formula example: =IF(K2&gt;=1000,"High","Standard")</x:v>
      </x:c>
    </x:row>
    <x:row r="9" ht="38" customHeight="1">
      <x:c r="A9" s="104" t="n">
        <x:v>8</x:v>
      </x:c>
      <x:c r="B9" s="27" t="str">
        <x:v>XLOOKUP</x:v>
      </x:c>
      <x:c r="C9" s="27" t="str">
        <x:v>Find a product's price from the Lookups sheet.</x:v>
      </x:c>
      <x:c r="D9" s="27" t="str">
        <x:v>Modern Excel supports XLOOKUP; VLOOKUP is used in the main workbook.</x:v>
      </x:c>
      <x:c r="E9" s="27" t="str">
        <x:v>Formula example: =XLOOKUP(D2,Lookups!A2:A7,Lookups!B2:B7,"Not found")</x:v>
      </x:c>
    </x:row>
    <x:row r="10" ht="38" customHeight="1">
      <x:c r="A10" s="104" t="n">
        <x:v>9</x:v>
      </x:c>
      <x:c r="B10" s="27" t="str">
        <x:v>Text cleaning</x:v>
      </x:c>
      <x:c r="C10" s="27" t="str">
        <x:v>Remove extra spaces from product names.</x:v>
      </x:c>
      <x:c r="D10" s="27" t="str">
        <x:v>Practice in a new column.</x:v>
      </x:c>
      <x:c r="E10" s="27" t="str">
        <x:v>Formula example: =PROPER(TRIM(D2))</x:v>
      </x:c>
    </x:row>
    <x:row r="11" ht="38" customHeight="1">
      <x:c r="A11" s="104" t="n">
        <x:v>10</x:v>
      </x:c>
      <x:c r="B11" s="27" t="str">
        <x:v>Date parts</x:v>
      </x:c>
      <x:c r="C11" s="27" t="str">
        <x:v>Extract the month number from a date.</x:v>
      </x:c>
      <x:c r="D11" s="27" t="str">
        <x:v>Practice in a new column.</x:v>
      </x:c>
      <x:c r="E11" s="27" t="str">
        <x:v>Formula example: =MONTH(B2)</x:v>
      </x:c>
    </x:row>
    <x:row r="12" ht="38" customHeight="1">
      <x:c r="A12" s="104" t="n">
        <x:v>11</x:v>
      </x:c>
      <x:c r="B12" s="27" t="str">
        <x:v>COUNTIFS</x:v>
      </x:c>
      <x:c r="C12" s="27" t="str">
        <x:v>Count orders from North with more than 3 units.</x:v>
      </x:c>
      <x:c r="D12" s="27" t="str">
        <x:v>Combine two conditions.</x:v>
      </x:c>
      <x:c r="E12" s="27" t="str">
        <x:v>Formula example: =COUNTIFS('Sales Data'!C2:C61,"North",'Sales Data'!E2:E61,"&gt;3")</x:v>
      </x:c>
    </x:row>
    <x:row r="13" ht="38" customHeight="1">
      <x:c r="A13" s="104" t="n">
        <x:v>12</x:v>
      </x:c>
      <x:c r="B13" s="27" t="str">
        <x:v>PivotTable</x:v>
      </x:c>
      <x:c r="C13" s="27" t="str">
        <x:v>Summarize Net Revenue by Region and Product.</x:v>
      </x:c>
      <x:c r="D13" s="27" t="str">
        <x:v>Insert → PivotTable; Region in Rows, Product in Columns, Net Revenue in Values (Sum).</x:v>
      </x:c>
      <x:c r="E13" s="27" t="str">
        <x:v>Action: Insert &gt; PivotTable; Region in Rows, Product in Columns, Net Revenue in Values (Sum).</x:v>
      </x:c>
    </x:row>
    <x:row r="14" ht="38" customHeight="1">
      <x:c r="A14" s="104" t="n">
        <x:v>13</x:v>
      </x:c>
      <x:c r="B14" s="27" t="str">
        <x:v>Chart</x:v>
      </x:c>
      <x:c r="C14" s="27" t="str">
        <x:v>Create a monthly revenue line chart.</x:v>
      </x:c>
      <x:c r="D14" s="27" t="str">
        <x:v>Use Dashboard monthly summary columns A:B.</x:v>
      </x:c>
      <x:c r="E14" s="27" t="str">
        <x:v>Action: Insert a line chart from Dashboard monthly summary columns A:B.</x:v>
      </x:c>
    </x:row>
    <x:row r="15" ht="38" customHeight="1">
      <x:c r="A15" s="104" t="n">
        <x:v>14</x:v>
      </x:c>
      <x:c r="B15" s="27" t="str">
        <x:v>Conditional formatting</x:v>
      </x:c>
      <x:c r="C15" s="27" t="str">
        <x:v>Highlight net revenue below $250.</x:v>
      </x:c>
      <x:c r="D15" s="27" t="str">
        <x:v>Select Sales Data K2:K61 and add a Less Than rule.</x:v>
      </x:c>
      <x:c r="E15" s="27" t="str">
        <x:v>Rule: cell value &lt; 250</x:v>
      </x:c>
    </x:row>
    <x:row r="16" ht="38" customHeight="1">
      <x:c r="A16" s="104" t="n">
        <x:v>15</x:v>
      </x:c>
      <x:c r="B16" s="27" t="str">
        <x:v>Data validation</x:v>
      </x:c>
      <x:c r="C16" s="27" t="str">
        <x:v>Restrict Channel entries to Online, Store, Partner.</x:v>
      </x:c>
      <x:c r="D16" s="27" t="str">
        <x:v>Use Data → Data Validation → List.</x:v>
      </x:c>
      <x:c r="E16" s="27" t="str">
        <x:v>Source: =Lookups!$H$2:$H$4</x:v>
      </x:c>
    </x:row>
    <x:row r="17" ht="38" customHeight="1">
      <x:c r="A17" s="104" t="n">
        <x:v>16</x:v>
      </x:c>
      <x:c r="B17" s="27" t="str">
        <x:v>Business insight</x:v>
      </x:c>
      <x:c r="C17" s="27" t="str">
        <x:v>Find the highest-revenue product.</x:v>
      </x:c>
      <x:c r="D17" s="27" t="str">
        <x:v>Use the Dashboard product summary.</x:v>
      </x:c>
      <x:c r="E17" s="27" t="str">
        <x:v>Formula example: =INDEX(F12:F17,MATCH(MAX(G12:G17),G12:G17,0))</x:v>
      </x:c>
    </x:row>
  </x:sheetData>
  <x:pageMargins left="0.7" right="0.7" top="0.75" bottom="0.75" header="0.3" footer="0.3"/>
  <x:tableParts count="1">
    <x:tablePart xmlns:r="http://schemas.openxmlformats.org/officeDocument/2006/relationships" r:id="Rc589540799ef415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55" hidden="0" customWidth="1"/>
    <x:col min="4" max="4" width="42" hidden="0" customWidth="1"/>
  </x:cols>
  <x:sheetData>
    <x:row r="1" ht="30" customHeight="1">
      <x:c r="A1" s="102" t="str">
        <x:v>Function / Feature</x:v>
      </x:c>
      <x:c r="B1" s="102" t="str">
        <x:v>Purpose</x:v>
      </x:c>
      <x:c r="C1" s="102" t="str">
        <x:v>Example formula / action</x:v>
      </x:c>
      <x:c r="D1" s="102" t="str">
        <x:v>Notes</x:v>
      </x:c>
    </x:row>
    <x:row r="2" ht="30" customHeight="1">
      <x:c r="A2" s="27" t="str">
        <x:v>SUM</x:v>
      </x:c>
      <x:c r="B2" s="27" t="str">
        <x:v>Adds values</x:v>
      </x:c>
      <x:c r="C2" s="27" t="str">
        <x:v>Formula: =SUM(K2:K61)</x:v>
      </x:c>
      <x:c r="D2" s="27" t="str">
        <x:v>Use for totals.</x:v>
      </x:c>
    </x:row>
    <x:row r="3" ht="30" customHeight="1">
      <x:c r="A3" s="27" t="str">
        <x:v>AVERAGE</x:v>
      </x:c>
      <x:c r="B3" s="27" t="str">
        <x:v>Mean of numeric values</x:v>
      </x:c>
      <x:c r="C3" s="27" t="str">
        <x:v>Formula: =AVERAGE(K2:K61)</x:v>
      </x:c>
      <x:c r="D3" s="27" t="str">
        <x:v>Ignores blanks.</x:v>
      </x:c>
    </x:row>
    <x:row r="4" ht="30" customHeight="1">
      <x:c r="A4" s="27" t="str">
        <x:v>MIN / MAX</x:v>
      </x:c>
      <x:c r="B4" s="27" t="str">
        <x:v>Smallest / largest</x:v>
      </x:c>
      <x:c r="C4" s="27" t="str">
        <x:v>Formula: =MAX(K2:K61)</x:v>
      </x:c>
      <x:c r="D4" s="27" t="str">
        <x:v>Useful for ranges.</x:v>
      </x:c>
    </x:row>
    <x:row r="5" ht="30" customHeight="1">
      <x:c r="A5" s="27" t="str">
        <x:v>COUNT</x:v>
      </x:c>
      <x:c r="B5" s="27" t="str">
        <x:v>Counts numeric cells</x:v>
      </x:c>
      <x:c r="C5" s="27" t="str">
        <x:v>Formula: =COUNT(E2:E61)</x:v>
      </x:c>
      <x:c r="D5" s="27" t="str">
        <x:v>Does not count text.</x:v>
      </x:c>
    </x:row>
    <x:row r="6" ht="30" customHeight="1">
      <x:c r="A6" s="27" t="str">
        <x:v>COUNTA</x:v>
      </x:c>
      <x:c r="B6" s="27" t="str">
        <x:v>Counts non-empty cells</x:v>
      </x:c>
      <x:c r="C6" s="27" t="str">
        <x:v>Formula: =COUNTA(A2:A61)</x:v>
      </x:c>
      <x:c r="D6" s="27" t="str">
        <x:v>Counts text and numbers.</x:v>
      </x:c>
    </x:row>
    <x:row r="7" ht="30" customHeight="1">
      <x:c r="A7" s="27" t="str">
        <x:v>COUNTBLANK</x:v>
      </x:c>
      <x:c r="B7" s="27" t="str">
        <x:v>Counts blank cells</x:v>
      </x:c>
      <x:c r="C7" s="27" t="str">
        <x:v>Formula: =COUNTBLANK(C2:C61)</x:v>
      </x:c>
      <x:c r="D7" s="27" t="str">
        <x:v>Can help with data-quality checks.</x:v>
      </x:c>
    </x:row>
    <x:row r="8" ht="30" customHeight="1">
      <x:c r="A8" s="27" t="str">
        <x:v>IF</x:v>
      </x:c>
      <x:c r="B8" s="27" t="str">
        <x:v>Conditional value</x:v>
      </x:c>
      <x:c r="C8" s="27" t="str">
        <x:v>Formula: =IF(K2&gt;=1000,"High","Standard")</x:v>
      </x:c>
      <x:c r="D8" s="27" t="str">
        <x:v>Use for labels and rules.</x:v>
      </x:c>
    </x:row>
    <x:row r="9" ht="30" customHeight="1">
      <x:c r="A9" s="27" t="str">
        <x:v>AND / OR</x:v>
      </x:c>
      <x:c r="B9" s="27" t="str">
        <x:v>Combine conditions</x:v>
      </x:c>
      <x:c r="C9" s="27" t="str">
        <x:v>Formula: =IF(AND(C2="North",H2="Online"),"Yes","No")</x:v>
      </x:c>
      <x:c r="D9" s="27" t="str">
        <x:v>Use inside IF.</x:v>
      </x:c>
    </x:row>
    <x:row r="10" ht="30" customHeight="1">
      <x:c r="A10" s="27" t="str">
        <x:v>SUMIF</x:v>
      </x:c>
      <x:c r="B10" s="27" t="str">
        <x:v>Sum using one criterion</x:v>
      </x:c>
      <x:c r="C10" s="27" t="str">
        <x:v>Formula: =SUMIF(D2:D61,"Laptop",K2:K61)</x:v>
      </x:c>
      <x:c r="D10" s="27" t="str">
        <x:v>Criteria range and sum range should align.</x:v>
      </x:c>
    </x:row>
    <x:row r="11" ht="30" customHeight="1">
      <x:c r="A11" s="27" t="str">
        <x:v>SUMIFS</x:v>
      </x:c>
      <x:c r="B11" s="27" t="str">
        <x:v>Sum using multiple criteria</x:v>
      </x:c>
      <x:c r="C11" s="27" t="str">
        <x:v>Formula: =SUMIFS(K2:K61,C2:C61,"North",H2:H61,"Online")</x:v>
      </x:c>
      <x:c r="D11" s="27" t="str">
        <x:v>Sum range comes first.</x:v>
      </x:c>
    </x:row>
    <x:row r="12" ht="30" customHeight="1">
      <x:c r="A12" s="27" t="str">
        <x:v>COUNTIF</x:v>
      </x:c>
      <x:c r="B12" s="27" t="str">
        <x:v>Count using one criterion</x:v>
      </x:c>
      <x:c r="C12" s="27" t="str">
        <x:v>Formula: =COUNTIF(H2:H61,"Online")</x:v>
      </x:c>
      <x:c r="D12" s="27" t="str">
        <x:v>Useful for category frequencies.</x:v>
      </x:c>
    </x:row>
    <x:row r="13" ht="30" customHeight="1">
      <x:c r="A13" s="27" t="str">
        <x:v>COUNTIFS</x:v>
      </x:c>
      <x:c r="B13" s="27" t="str">
        <x:v>Count using multiple criteria</x:v>
      </x:c>
      <x:c r="C13" s="27" t="str">
        <x:v>Formula: =COUNTIFS(C2:C61,"North",E2:E61,"&gt;3")</x:v>
      </x:c>
      <x:c r="D13" s="27" t="str">
        <x:v>Every criteria range must be same size.</x:v>
      </x:c>
    </x:row>
    <x:row r="14" ht="30" customHeight="1">
      <x:c r="A14" s="27" t="str">
        <x:v>IFERROR</x:v>
      </x:c>
      <x:c r="B14" s="27" t="str">
        <x:v>Return fallback when formula errors</x:v>
      </x:c>
      <x:c r="C14" s="27" t="str">
        <x:v>Formula: =IFERROR(VLOOKUP(D2,Lookups!A:B,2,FALSE),0)</x:v>
      </x:c>
      <x:c r="D14" s="27" t="str">
        <x:v>Avoid hiding errors without reason.</x:v>
      </x:c>
    </x:row>
    <x:row r="15" ht="30" customHeight="1">
      <x:c r="A15" s="27" t="str">
        <x:v>VLOOKUP</x:v>
      </x:c>
      <x:c r="B15" s="27" t="str">
        <x:v>Find value in first lookup column</x:v>
      </x:c>
      <x:c r="C15" s="27" t="str">
        <x:v>Formula: =VLOOKUP(D2,Lookups!$A$2:$B$7,2,FALSE)</x:v>
      </x:c>
      <x:c r="D15" s="27" t="str">
        <x:v>FALSE requests exact match.</x:v>
      </x:c>
    </x:row>
    <x:row r="16" ht="30" customHeight="1">
      <x:c r="A16" s="27" t="str">
        <x:v>XLOOKUP</x:v>
      </x:c>
      <x:c r="B16" s="27" t="str">
        <x:v>Modern flexible lookup</x:v>
      </x:c>
      <x:c r="C16" s="27" t="str">
        <x:v>Formula: =XLOOKUP(D2,Lookups!A2:A7,Lookups!B2:B7,"Not found")</x:v>
      </x:c>
      <x:c r="D16" s="27" t="str">
        <x:v>Not available in older Excel versions.</x:v>
      </x:c>
    </x:row>
    <x:row r="17" ht="30" customHeight="1">
      <x:c r="A17" s="27" t="str">
        <x:v>INDEX + MATCH</x:v>
      </x:c>
      <x:c r="B17" s="27" t="str">
        <x:v>Flexible lookup combination</x:v>
      </x:c>
      <x:c r="C17" s="27" t="str">
        <x:v>Formula: =INDEX(B2:B7,MATCH(D2,A2:A7,0))</x:v>
      </x:c>
      <x:c r="D17" s="27" t="str">
        <x:v>Useful in older Excel versions.</x:v>
      </x:c>
    </x:row>
    <x:row r="18" ht="30" customHeight="1">
      <x:c r="A18" s="27" t="str">
        <x:v>TRIM</x:v>
      </x:c>
      <x:c r="B18" s="27" t="str">
        <x:v>Remove extra ordinary spaces</x:v>
      </x:c>
      <x:c r="C18" s="27" t="str">
        <x:v>Formula: =TRIM(D2)</x:v>
      </x:c>
      <x:c r="D18" s="27" t="str">
        <x:v>Good for text cleaning.</x:v>
      </x:c>
    </x:row>
    <x:row r="19" ht="30" customHeight="1">
      <x:c r="A19" s="27" t="str">
        <x:v>CLEAN</x:v>
      </x:c>
      <x:c r="B19" s="27" t="str">
        <x:v>Remove non-printing characters</x:v>
      </x:c>
      <x:c r="C19" s="27" t="str">
        <x:v>Formula: =CLEAN(D2)</x:v>
      </x:c>
      <x:c r="D19" s="27" t="str">
        <x:v>May need TRIM as well.</x:v>
      </x:c>
    </x:row>
    <x:row r="20" ht="30" customHeight="1">
      <x:c r="A20" s="27" t="str">
        <x:v>PROPER</x:v>
      </x:c>
      <x:c r="B20" s="27" t="str">
        <x:v>Capitalize words</x:v>
      </x:c>
      <x:c r="C20" s="27" t="str">
        <x:v>Formula: =PROPER(TRIM(D2))</x:v>
      </x:c>
      <x:c r="D20" s="27" t="str">
        <x:v>May not suit every name or code.</x:v>
      </x:c>
    </x:row>
    <x:row r="21" ht="30" customHeight="1">
      <x:c r="A21" s="27" t="str">
        <x:v>LEFT / RIGHT / MID</x:v>
      </x:c>
      <x:c r="B21" s="27" t="str">
        <x:v>Extract text segments</x:v>
      </x:c>
      <x:c r="C21" s="27" t="str">
        <x:v>Formula: =LEFT(A2,4)</x:v>
      </x:c>
      <x:c r="D21" s="27" t="str">
        <x:v>MID uses a starting position and length.</x:v>
      </x:c>
    </x:row>
    <x:row r="22" ht="30" customHeight="1">
      <x:c r="A22" s="27" t="str">
        <x:v>LEN</x:v>
      </x:c>
      <x:c r="B22" s="27" t="str">
        <x:v>Count characters</x:v>
      </x:c>
      <x:c r="C22" s="27" t="str">
        <x:v>Formula: =LEN(D2)</x:v>
      </x:c>
      <x:c r="D22" s="27" t="str">
        <x:v>Can reveal inconsistent text lengths.</x:v>
      </x:c>
    </x:row>
    <x:row r="23" ht="30" customHeight="1">
      <x:c r="A23" s="27" t="str">
        <x:v>TEXTJOIN</x:v>
      </x:c>
      <x:c r="B23" s="27" t="str">
        <x:v>Join values with delimiter</x:v>
      </x:c>
      <x:c r="C23" s="27" t="str">
        <x:v>Formula: =TEXTJOIN(", ",TRUE,A2:A5)</x:v>
      </x:c>
      <x:c r="D23" s="27" t="str">
        <x:v>Supported in modern Excel.</x:v>
      </x:c>
    </x:row>
    <x:row r="24" ht="30" customHeight="1">
      <x:c r="A24" s="27" t="str">
        <x:v>DATE / YEAR / MONTH</x:v>
      </x:c>
      <x:c r="B24" s="27" t="str">
        <x:v>Build/extract date parts</x:v>
      </x:c>
      <x:c r="C24" s="27" t="str">
        <x:v>Formula: =MONTH(B2)</x:v>
      </x:c>
      <x:c r="D24" s="27" t="str">
        <x:v>Ensure date values are real dates.</x:v>
      </x:c>
    </x:row>
    <x:row r="25" ht="30" customHeight="1">
      <x:c r="A25" s="27" t="str">
        <x:v>EOMONTH</x:v>
      </x:c>
      <x:c r="B25" s="27" t="str">
        <x:v>Find end of month</x:v>
      </x:c>
      <x:c r="C25" s="27" t="str">
        <x:v>Formula: =EOMONTH(B2,0)</x:v>
      </x:c>
      <x:c r="D25" s="27" t="str">
        <x:v>Useful for monthly reporting.</x:v>
      </x:c>
    </x:row>
    <x:row r="26" ht="30" customHeight="1">
      <x:c r="A26" s="27" t="str">
        <x:v>ROUND</x:v>
      </x:c>
      <x:c r="B26" s="27" t="str">
        <x:v>Round numeric values</x:v>
      </x:c>
      <x:c r="C26" s="27" t="str">
        <x:v>Formula: =ROUND(K2,2)</x:v>
      </x:c>
      <x:c r="D26" s="27" t="str">
        <x:v>Keep raw precision when appropriate.</x:v>
      </x:c>
    </x:row>
    <x:row r="27" ht="30" customHeight="1">
      <x:c r="A27" s="27" t="str">
        <x:v>RANK.EQ</x:v>
      </x:c>
      <x:c r="B27" s="27" t="str">
        <x:v>Rank a value</x:v>
      </x:c>
      <x:c r="C27" s="27" t="str">
        <x:v>Formula: =RANK.EQ(K2,$K$2:$K$61,0)</x:v>
      </x:c>
      <x:c r="D27" s="27" t="str">
        <x:v>0 ranks largest as 1.</x:v>
      </x:c>
    </x:row>
    <x:row r="28" ht="30" customHeight="1">
      <x:c r="A28" s="27" t="str">
        <x:v>SUBTOTAL</x:v>
      </x:c>
      <x:c r="B28" s="27" t="str">
        <x:v>Aggregate filtered lists</x:v>
      </x:c>
      <x:c r="C28" s="27" t="str">
        <x:v>Formula: =SUBTOTAL(9,K2:K61)</x:v>
      </x:c>
      <x:c r="D28" s="27" t="str">
        <x:v>Function number 9 means SUM.</x:v>
      </x:c>
    </x:row>
    <x:row r="29" ht="30" customHeight="1">
      <x:c r="A29" s="27" t="str">
        <x:v>FILTER</x:v>
      </x:c>
      <x:c r="B29" s="27" t="str">
        <x:v>Return rows matching conditions</x:v>
      </x:c>
      <x:c r="C29" s="27" t="str">
        <x:v>Formula: =FILTER(A2:K61,C2:C61="North")</x:v>
      </x:c>
      <x:c r="D29" s="27" t="str">
        <x:v>Dynamic array function in modern Excel.</x:v>
      </x:c>
    </x:row>
    <x:row r="30" ht="30" customHeight="1">
      <x:c r="A30" s="27" t="str">
        <x:v>SORT</x:v>
      </x:c>
      <x:c r="B30" s="27" t="str">
        <x:v>Sort an array with a formula</x:v>
      </x:c>
      <x:c r="C30" s="27" t="str">
        <x:v>Formula: =SORT(A2:K61,11,-1)</x:v>
      </x:c>
      <x:c r="D30" s="27" t="str">
        <x:v>Dynamic array function in modern Excel.</x:v>
      </x:c>
    </x:row>
    <x:row r="31" ht="30" customHeight="1">
      <x:c r="A31" s="27" t="str">
        <x:v>PivotTable</x:v>
      </x:c>
      <x:c r="B31" s="27" t="str">
        <x:v>Summarize large tables interactively</x:v>
      </x:c>
      <x:c r="C31" s="27" t="str">
        <x:v>Insert → PivotTable</x:v>
      </x:c>
      <x:c r="D31" s="27" t="str">
        <x:v>Use Sum, Count, Average; verify the value field setting.</x:v>
      </x:c>
    </x:row>
    <x:row r="32" ht="30" customHeight="1">
      <x:c r="A32" s="27" t="str">
        <x:v>Conditional formatting</x:v>
      </x:c>
      <x:c r="B32" s="27" t="str">
        <x:v>Highlight values by rules</x:v>
      </x:c>
      <x:c r="C32" s="27" t="str">
        <x:v>Home → Conditional Formatting</x:v>
      </x:c>
      <x:c r="D32" s="27" t="str">
        <x:v>Use colors to show exceptions, not decorate every cell.</x:v>
      </x:c>
    </x:row>
    <x:row r="33" ht="30" customHeight="1">
      <x:c r="A33" s="27" t="str">
        <x:v>Data validation</x:v>
      </x:c>
      <x:c r="B33" s="27" t="str">
        <x:v>Restrict allowed inputs</x:v>
      </x:c>
      <x:c r="C33" s="27" t="str">
        <x:v>Data → Data Validation</x:v>
      </x:c>
      <x:c r="D33" s="27" t="str">
        <x:v>Useful for dropdown categories.</x:v>
      </x:c>
    </x:row>
    <x:row r="34" ht="30" customHeight="1">
      <x:c r="A34" s="27" t="str">
        <x:v>Chart</x:v>
      </x:c>
      <x:c r="B34" s="27" t="str">
        <x:v>Visualize comparisons or trends</x:v>
      </x:c>
      <x:c r="C34" s="27" t="str">
        <x:v>Insert → Recommended Charts</x:v>
      </x:c>
      <x:c r="D34" s="27" t="str">
        <x:v>Choose chart type according to the question.</x:v>
      </x:c>
    </x:row>
  </x:sheetData>
  <x:pageMargins left="0.7" right="0.7" top="0.75" bottom="0.75" header="0.3" footer="0.3"/>
  <x:tableParts count="1">
    <x:tablePart xmlns:r="http://schemas.openxmlformats.org/officeDocument/2006/relationships" r:id="R1cfd98efdea14317"/>
  </x:tableParts>
</x:worksheet>
</file>